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kusc\Downloads\"/>
    </mc:Choice>
  </mc:AlternateContent>
  <xr:revisionPtr revIDLastSave="0" documentId="13_ncr:1_{4D58ACDA-07AF-45C8-994E-ACA3F309CF3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📋 Anleitung" sheetId="1" r:id="rId1"/>
    <sheet name="🏢 Stammdaten" sheetId="2" r:id="rId2"/>
    <sheet name="📈 GuV" sheetId="3" r:id="rId3"/>
    <sheet name="⚖️ Bilanz" sheetId="4" r:id="rId4"/>
    <sheet name="🔢 Kennzahle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4" l="1"/>
  <c r="D62" i="4"/>
  <c r="D63" i="4" s="1"/>
  <c r="D32" i="4"/>
  <c r="D22" i="4"/>
  <c r="D17" i="3"/>
  <c r="D18" i="3" s="1"/>
  <c r="D24" i="3" s="1"/>
  <c r="C17" i="3"/>
  <c r="C18" i="3" s="1"/>
  <c r="C24" i="3" s="1"/>
  <c r="C25" i="3" s="1"/>
  <c r="D72" i="4"/>
  <c r="C72" i="4"/>
  <c r="C63" i="4"/>
  <c r="D38" i="4"/>
  <c r="C38" i="4"/>
  <c r="C32" i="4"/>
  <c r="C22" i="4"/>
  <c r="D16" i="4"/>
  <c r="C16" i="4"/>
  <c r="D32" i="3"/>
  <c r="C32" i="3"/>
  <c r="D13" i="3"/>
  <c r="C13" i="3"/>
  <c r="D8" i="3"/>
  <c r="C8" i="3"/>
  <c r="D42" i="4" l="1"/>
  <c r="C42" i="4"/>
  <c r="C9" i="4"/>
  <c r="C24" i="4" s="1"/>
  <c r="D9" i="4"/>
  <c r="D24" i="4" s="1"/>
  <c r="D25" i="3"/>
  <c r="D34" i="3" s="1"/>
  <c r="C34" i="3"/>
  <c r="C37" i="3" l="1"/>
  <c r="C40" i="3" s="1"/>
  <c r="D37" i="3"/>
  <c r="D40" i="3" s="1"/>
  <c r="D56" i="4" s="1"/>
  <c r="C47" i="4"/>
  <c r="D47" i="4"/>
  <c r="D57" i="4" l="1"/>
  <c r="D76" i="4" s="1"/>
  <c r="C56" i="4"/>
  <c r="C57" i="4" s="1"/>
  <c r="C76" i="4" s="1"/>
  <c r="B7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100-000001000000}">
      <text>
        <r>
          <rPr>
            <sz val="10"/>
            <rFont val="Arial"/>
            <family val="2"/>
          </rPr>
          <t>stammdaten.firmenname</t>
        </r>
      </text>
    </comment>
    <comment ref="B4" authorId="0" shapeId="0" xr:uid="{00000000-0006-0000-0100-000002000000}">
      <text>
        <r>
          <rPr>
            <sz val="10"/>
            <rFont val="Arial"/>
            <family val="2"/>
          </rPr>
          <t>stammdaten.sitz</t>
        </r>
      </text>
    </comment>
    <comment ref="B5" authorId="0" shapeId="0" xr:uid="{00000000-0006-0000-0100-000003000000}">
      <text>
        <r>
          <rPr>
            <sz val="10"/>
            <rFont val="Arial"/>
            <family val="2"/>
          </rPr>
          <t>stammdaten.handelsregister</t>
        </r>
      </text>
    </comment>
    <comment ref="B6" authorId="0" shapeId="0" xr:uid="{00000000-0006-0000-0100-000004000000}">
      <text>
        <r>
          <rPr>
            <sz val="10"/>
            <rFont val="Arial"/>
            <family val="2"/>
          </rPr>
          <t>stammdaten.gruendungsjahr</t>
        </r>
      </text>
    </comment>
    <comment ref="B7" authorId="0" shapeId="0" xr:uid="{00000000-0006-0000-0100-000005000000}">
      <text>
        <r>
          <rPr>
            <sz val="10"/>
            <rFont val="Arial"/>
            <family val="2"/>
          </rPr>
          <t>stammdaten.geschaeftsjahr</t>
        </r>
      </text>
    </comment>
    <comment ref="B8" authorId="0" shapeId="0" xr:uid="{00000000-0006-0000-0100-000006000000}">
      <text>
        <r>
          <rPr>
            <sz val="10"/>
            <rFont val="Arial"/>
            <family val="2"/>
          </rPr>
          <t>stammdaten.branche</t>
        </r>
      </text>
    </comment>
    <comment ref="B9" authorId="0" shapeId="0" xr:uid="{00000000-0006-0000-0100-000007000000}">
      <text>
        <r>
          <rPr>
            <sz val="10"/>
            <rFont val="Arial"/>
            <family val="2"/>
          </rPr>
          <t>stammdaten.mitarbeiter_standorte</t>
        </r>
      </text>
    </comment>
    <comment ref="B10" authorId="0" shapeId="0" xr:uid="{00000000-0006-0000-0100-000008000000}">
      <text>
        <r>
          <rPr>
            <sz val="10"/>
            <rFont val="Arial"/>
            <family val="2"/>
          </rPr>
          <t>stammdaten.boerse</t>
        </r>
      </text>
    </comment>
    <comment ref="B11" authorId="0" shapeId="0" xr:uid="{00000000-0006-0000-0100-000009000000}">
      <text>
        <r>
          <rPr>
            <sz val="10"/>
            <rFont val="Arial"/>
            <family val="2"/>
          </rPr>
          <t>stammdaten.isin</t>
        </r>
      </text>
    </comment>
    <comment ref="B12" authorId="0" shapeId="0" xr:uid="{00000000-0006-0000-0100-00000A000000}">
      <text>
        <r>
          <rPr>
            <sz val="10"/>
            <rFont val="Arial"/>
            <family val="2"/>
          </rPr>
          <t>stammdaten.ticker</t>
        </r>
      </text>
    </comment>
    <comment ref="B13" authorId="0" shapeId="0" xr:uid="{00000000-0006-0000-0100-00000B000000}">
      <text>
        <r>
          <rPr>
            <sz val="10"/>
            <rFont val="Arial"/>
            <family val="2"/>
          </rPr>
          <t>stammdaten.anzahl_aktien</t>
        </r>
      </text>
    </comment>
    <comment ref="B14" authorId="0" shapeId="0" xr:uid="{00000000-0006-0000-0100-00000C000000}">
      <text>
        <r>
          <rPr>
            <sz val="10"/>
            <rFont val="Arial"/>
            <family val="2"/>
          </rPr>
          <t>stammdaten.abschlussprufer</t>
        </r>
      </text>
    </comment>
    <comment ref="B18" authorId="0" shapeId="0" xr:uid="{00000000-0006-0000-0100-00000D000000}">
      <text>
        <r>
          <rPr>
            <sz val="10"/>
            <rFont val="Arial"/>
            <family val="2"/>
          </rPr>
          <t>segmente[0].name</t>
        </r>
      </text>
    </comment>
    <comment ref="C18" authorId="0" shapeId="0" xr:uid="{00000000-0006-0000-0100-00001D000000}">
      <text>
        <r>
          <rPr>
            <sz val="10"/>
            <rFont val="Arial"/>
            <family val="2"/>
          </rPr>
          <t>segmente[0].umsatz</t>
        </r>
      </text>
    </comment>
    <comment ref="D18" authorId="0" shapeId="0" xr:uid="{00000000-0006-0000-0100-00002D000000}">
      <text>
        <r>
          <rPr>
            <sz val="10"/>
            <rFont val="Arial"/>
            <family val="2"/>
          </rPr>
          <t>segmente[0].vorjahr_umsatz</t>
        </r>
      </text>
    </comment>
    <comment ref="B19" authorId="0" shapeId="0" xr:uid="{00000000-0006-0000-0100-00000E000000}">
      <text>
        <r>
          <rPr>
            <sz val="10"/>
            <rFont val="Arial"/>
            <family val="2"/>
          </rPr>
          <t>segmente[1].name</t>
        </r>
      </text>
    </comment>
    <comment ref="C19" authorId="0" shapeId="0" xr:uid="{00000000-0006-0000-0100-00001E000000}">
      <text>
        <r>
          <rPr>
            <sz val="10"/>
            <rFont val="Arial"/>
            <family val="2"/>
          </rPr>
          <t>segmente[1].umsatz</t>
        </r>
      </text>
    </comment>
    <comment ref="D19" authorId="0" shapeId="0" xr:uid="{00000000-0006-0000-0100-00002E000000}">
      <text>
        <r>
          <rPr>
            <sz val="10"/>
            <rFont val="Arial"/>
            <family val="2"/>
          </rPr>
          <t>segmente[1].vorjahr_umsatz</t>
        </r>
      </text>
    </comment>
    <comment ref="B20" authorId="0" shapeId="0" xr:uid="{00000000-0006-0000-0100-00000F000000}">
      <text>
        <r>
          <rPr>
            <sz val="10"/>
            <rFont val="Arial"/>
            <family val="2"/>
          </rPr>
          <t>segmente[2].name</t>
        </r>
      </text>
    </comment>
    <comment ref="C20" authorId="0" shapeId="0" xr:uid="{00000000-0006-0000-0100-00001F000000}">
      <text>
        <r>
          <rPr>
            <sz val="10"/>
            <rFont val="Arial"/>
            <family val="2"/>
          </rPr>
          <t>segmente[2].umsatz</t>
        </r>
      </text>
    </comment>
    <comment ref="D20" authorId="0" shapeId="0" xr:uid="{00000000-0006-0000-0100-00002F000000}">
      <text>
        <r>
          <rPr>
            <sz val="10"/>
            <rFont val="Arial"/>
            <family val="2"/>
          </rPr>
          <t>segmente[2].vorjahr_umsatz</t>
        </r>
      </text>
    </comment>
    <comment ref="B21" authorId="0" shapeId="0" xr:uid="{00000000-0006-0000-0100-000010000000}">
      <text>
        <r>
          <rPr>
            <sz val="10"/>
            <rFont val="Arial"/>
            <family val="2"/>
          </rPr>
          <t>segmente[3].name</t>
        </r>
      </text>
    </comment>
    <comment ref="C21" authorId="0" shapeId="0" xr:uid="{00000000-0006-0000-0100-000020000000}">
      <text>
        <r>
          <rPr>
            <sz val="10"/>
            <rFont val="Arial"/>
            <family val="2"/>
          </rPr>
          <t>segmente[3].umsatz</t>
        </r>
      </text>
    </comment>
    <comment ref="D21" authorId="0" shapeId="0" xr:uid="{00000000-0006-0000-0100-000030000000}">
      <text>
        <r>
          <rPr>
            <sz val="10"/>
            <rFont val="Arial"/>
            <family val="2"/>
          </rPr>
          <t>segmente[3].vorjahr_umsatz</t>
        </r>
      </text>
    </comment>
    <comment ref="B22" authorId="0" shapeId="0" xr:uid="{00000000-0006-0000-0100-000011000000}">
      <text>
        <r>
          <rPr>
            <sz val="10"/>
            <rFont val="Arial"/>
            <family val="2"/>
          </rPr>
          <t>segmente[4].name</t>
        </r>
      </text>
    </comment>
    <comment ref="C22" authorId="0" shapeId="0" xr:uid="{00000000-0006-0000-0100-000021000000}">
      <text>
        <r>
          <rPr>
            <sz val="10"/>
            <rFont val="Arial"/>
            <family val="2"/>
          </rPr>
          <t>segmente[4].umsatz</t>
        </r>
      </text>
    </comment>
    <comment ref="D22" authorId="0" shapeId="0" xr:uid="{00000000-0006-0000-0100-000031000000}">
      <text>
        <r>
          <rPr>
            <sz val="10"/>
            <rFont val="Arial"/>
            <family val="2"/>
          </rPr>
          <t>segmente[4].vorjahr_umsatz</t>
        </r>
      </text>
    </comment>
    <comment ref="B26" authorId="0" shapeId="0" xr:uid="{00000000-0006-0000-0100-000012000000}">
      <text>
        <r>
          <rPr>
            <sz val="10"/>
            <rFont val="Arial"/>
            <family val="2"/>
          </rPr>
          <t>organe.vorstand[0].name</t>
        </r>
      </text>
    </comment>
    <comment ref="C26" authorId="0" shapeId="0" xr:uid="{00000000-0006-0000-0100-000022000000}">
      <text>
        <r>
          <rPr>
            <sz val="10"/>
            <rFont val="Arial"/>
            <family val="2"/>
          </rPr>
          <t>organe.vorstand[0].funktion</t>
        </r>
      </text>
    </comment>
    <comment ref="D26" authorId="0" shapeId="0" xr:uid="{00000000-0006-0000-0100-000032000000}">
      <text>
        <r>
          <rPr>
            <sz val="10"/>
            <rFont val="Arial"/>
            <family val="2"/>
          </rPr>
          <t>organe.vorstand[0].bestellt_bis</t>
        </r>
      </text>
    </comment>
    <comment ref="B27" authorId="0" shapeId="0" xr:uid="{00000000-0006-0000-0100-000013000000}">
      <text>
        <r>
          <rPr>
            <sz val="10"/>
            <rFont val="Arial"/>
            <family val="2"/>
          </rPr>
          <t>organe.vorstand[1].name</t>
        </r>
      </text>
    </comment>
    <comment ref="C27" authorId="0" shapeId="0" xr:uid="{00000000-0006-0000-0100-000023000000}">
      <text>
        <r>
          <rPr>
            <sz val="10"/>
            <rFont val="Arial"/>
            <family val="2"/>
          </rPr>
          <t>organe.vorstand[1].funktion</t>
        </r>
      </text>
    </comment>
    <comment ref="D27" authorId="0" shapeId="0" xr:uid="{00000000-0006-0000-0100-000033000000}">
      <text>
        <r>
          <rPr>
            <sz val="10"/>
            <rFont val="Arial"/>
            <family val="2"/>
          </rPr>
          <t>organe.vorstand[1].bestellt_bis</t>
        </r>
      </text>
    </comment>
    <comment ref="B28" authorId="0" shapeId="0" xr:uid="{00000000-0006-0000-0100-000014000000}">
      <text>
        <r>
          <rPr>
            <sz val="10"/>
            <rFont val="Arial"/>
            <family val="2"/>
          </rPr>
          <t>organe.vorstand[2].name</t>
        </r>
      </text>
    </comment>
    <comment ref="C28" authorId="0" shapeId="0" xr:uid="{00000000-0006-0000-0100-000024000000}">
      <text>
        <r>
          <rPr>
            <sz val="10"/>
            <rFont val="Arial"/>
            <family val="2"/>
          </rPr>
          <t>organe.vorstand[2].funktion</t>
        </r>
      </text>
    </comment>
    <comment ref="D28" authorId="0" shapeId="0" xr:uid="{00000000-0006-0000-0100-000034000000}">
      <text>
        <r>
          <rPr>
            <sz val="10"/>
            <rFont val="Arial"/>
            <family val="2"/>
          </rPr>
          <t>organe.vorstand[2].bestellt_bis</t>
        </r>
      </text>
    </comment>
    <comment ref="B29" authorId="0" shapeId="0" xr:uid="{00000000-0006-0000-0100-000015000000}">
      <text>
        <r>
          <rPr>
            <sz val="10"/>
            <rFont val="Arial"/>
            <family val="2"/>
          </rPr>
          <t>organe.vorstand[3].name</t>
        </r>
      </text>
    </comment>
    <comment ref="C29" authorId="0" shapeId="0" xr:uid="{00000000-0006-0000-0100-000025000000}">
      <text>
        <r>
          <rPr>
            <sz val="10"/>
            <rFont val="Arial"/>
            <family val="2"/>
          </rPr>
          <t>organe.vorstand[3].funktion</t>
        </r>
      </text>
    </comment>
    <comment ref="D29" authorId="0" shapeId="0" xr:uid="{00000000-0006-0000-0100-000035000000}">
      <text>
        <r>
          <rPr>
            <sz val="10"/>
            <rFont val="Arial"/>
            <family val="2"/>
          </rPr>
          <t>organe.vorstand[3].bestellt_bis</t>
        </r>
      </text>
    </comment>
    <comment ref="B30" authorId="0" shapeId="0" xr:uid="{00000000-0006-0000-0100-000016000000}">
      <text>
        <r>
          <rPr>
            <sz val="10"/>
            <rFont val="Arial"/>
            <family val="2"/>
          </rPr>
          <t>organe.vorstand[4].name</t>
        </r>
      </text>
    </comment>
    <comment ref="C30" authorId="0" shapeId="0" xr:uid="{00000000-0006-0000-0100-000026000000}">
      <text>
        <r>
          <rPr>
            <sz val="10"/>
            <rFont val="Arial"/>
            <family val="2"/>
          </rPr>
          <t>organe.vorstand[4].funktion</t>
        </r>
      </text>
    </comment>
    <comment ref="D30" authorId="0" shapeId="0" xr:uid="{00000000-0006-0000-0100-000036000000}">
      <text>
        <r>
          <rPr>
            <sz val="10"/>
            <rFont val="Arial"/>
            <family val="2"/>
          </rPr>
          <t>organe.vorstand[4].bestellt_bis</t>
        </r>
      </text>
    </comment>
    <comment ref="B34" authorId="0" shapeId="0" xr:uid="{00000000-0006-0000-0100-000017000000}">
      <text>
        <r>
          <rPr>
            <sz val="10"/>
            <rFont val="Arial"/>
            <family val="2"/>
          </rPr>
          <t>organe.aufsichtsrat[0].name</t>
        </r>
      </text>
    </comment>
    <comment ref="C34" authorId="0" shapeId="0" xr:uid="{00000000-0006-0000-0100-000027000000}">
      <text>
        <r>
          <rPr>
            <sz val="10"/>
            <rFont val="Arial"/>
            <family val="2"/>
          </rPr>
          <t>organe.aufsichtsrat[0].funktion</t>
        </r>
      </text>
    </comment>
    <comment ref="B35" authorId="0" shapeId="0" xr:uid="{00000000-0006-0000-0100-000018000000}">
      <text>
        <r>
          <rPr>
            <sz val="10"/>
            <rFont val="Arial"/>
            <family val="2"/>
          </rPr>
          <t>organe.aufsichtsrat[1].name</t>
        </r>
      </text>
    </comment>
    <comment ref="C35" authorId="0" shapeId="0" xr:uid="{00000000-0006-0000-0100-000028000000}">
      <text>
        <r>
          <rPr>
            <sz val="10"/>
            <rFont val="Arial"/>
            <family val="2"/>
          </rPr>
          <t>organe.aufsichtsrat[1].funktion</t>
        </r>
      </text>
    </comment>
    <comment ref="B36" authorId="0" shapeId="0" xr:uid="{00000000-0006-0000-0100-000019000000}">
      <text>
        <r>
          <rPr>
            <sz val="10"/>
            <rFont val="Arial"/>
            <family val="2"/>
          </rPr>
          <t>organe.aufsichtsrat[2].name</t>
        </r>
      </text>
    </comment>
    <comment ref="C36" authorId="0" shapeId="0" xr:uid="{00000000-0006-0000-0100-000029000000}">
      <text>
        <r>
          <rPr>
            <sz val="10"/>
            <rFont val="Arial"/>
            <family val="2"/>
          </rPr>
          <t>organe.aufsichtsrat[2].funktion</t>
        </r>
      </text>
    </comment>
    <comment ref="B37" authorId="0" shapeId="0" xr:uid="{00000000-0006-0000-0100-00001A000000}">
      <text>
        <r>
          <rPr>
            <sz val="10"/>
            <rFont val="Arial"/>
            <family val="2"/>
          </rPr>
          <t>organe.aufsichtsrat[3].name</t>
        </r>
      </text>
    </comment>
    <comment ref="C37" authorId="0" shapeId="0" xr:uid="{00000000-0006-0000-0100-00002A000000}">
      <text>
        <r>
          <rPr>
            <sz val="10"/>
            <rFont val="Arial"/>
            <family val="2"/>
          </rPr>
          <t>organe.aufsichtsrat[3].funktion</t>
        </r>
      </text>
    </comment>
    <comment ref="B38" authorId="0" shapeId="0" xr:uid="{00000000-0006-0000-0100-00001B000000}">
      <text>
        <r>
          <rPr>
            <sz val="10"/>
            <rFont val="Arial"/>
            <family val="2"/>
          </rPr>
          <t>organe.aufsichtsrat[4].name</t>
        </r>
      </text>
    </comment>
    <comment ref="C38" authorId="0" shapeId="0" xr:uid="{00000000-0006-0000-0100-00002B000000}">
      <text>
        <r>
          <rPr>
            <sz val="10"/>
            <rFont val="Arial"/>
            <family val="2"/>
          </rPr>
          <t>organe.aufsichtsrat[4].funktion</t>
        </r>
      </text>
    </comment>
    <comment ref="B39" authorId="0" shapeId="0" xr:uid="{00000000-0006-0000-0100-00001C000000}">
      <text>
        <r>
          <rPr>
            <sz val="10"/>
            <rFont val="Arial"/>
            <family val="2"/>
          </rPr>
          <t>organe.aufsichtsrat[5].name</t>
        </r>
      </text>
    </comment>
    <comment ref="C39" authorId="0" shapeId="0" xr:uid="{00000000-0006-0000-0100-00002C000000}">
      <text>
        <r>
          <rPr>
            <sz val="10"/>
            <rFont val="Arial"/>
            <family val="2"/>
          </rPr>
          <t>organe.aufsichtsrat[5].funktion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200-000001000000}">
      <text>
        <r>
          <rPr>
            <sz val="10"/>
            <rFont val="Arial"/>
            <family val="2"/>
          </rPr>
          <t>guv.umsatzerloese</t>
        </r>
      </text>
    </comment>
    <comment ref="B5" authorId="0" shapeId="0" xr:uid="{00000000-0006-0000-0200-000002000000}">
      <text>
        <r>
          <rPr>
            <sz val="10"/>
            <rFont val="Arial"/>
            <family val="2"/>
          </rPr>
          <t>guv.bestandsveraenderung</t>
        </r>
      </text>
    </comment>
    <comment ref="B6" authorId="0" shapeId="0" xr:uid="{00000000-0006-0000-0200-000003000000}">
      <text>
        <r>
          <rPr>
            <sz val="10"/>
            <rFont val="Arial"/>
            <family val="2"/>
          </rPr>
          <t>guv.eigenleistungen</t>
        </r>
      </text>
    </comment>
    <comment ref="B7" authorId="0" shapeId="0" xr:uid="{00000000-0006-0000-0200-000004000000}">
      <text>
        <r>
          <rPr>
            <sz val="10"/>
            <rFont val="Arial"/>
            <family val="2"/>
          </rPr>
          <t>guv.sonstige_ertraege</t>
        </r>
      </text>
    </comment>
    <comment ref="B11" authorId="0" shapeId="0" xr:uid="{00000000-0006-0000-0200-000005000000}">
      <text>
        <r>
          <rPr>
            <sz val="10"/>
            <rFont val="Arial"/>
            <family val="2"/>
          </rPr>
          <t>guv.material_roh</t>
        </r>
      </text>
    </comment>
    <comment ref="B12" authorId="0" shapeId="0" xr:uid="{00000000-0006-0000-0200-000006000000}">
      <text>
        <r>
          <rPr>
            <sz val="10"/>
            <rFont val="Arial"/>
            <family val="2"/>
          </rPr>
          <t>guv.material_dienst</t>
        </r>
      </text>
    </comment>
    <comment ref="B16" authorId="0" shapeId="0" xr:uid="{00000000-0006-0000-0200-000007000000}">
      <text>
        <r>
          <rPr>
            <sz val="10"/>
            <rFont val="Arial"/>
            <family val="2"/>
          </rPr>
          <t>guv.loehne</t>
        </r>
      </text>
    </comment>
    <comment ref="B17" authorId="0" shapeId="0" xr:uid="{00000000-0006-0000-0200-000008000000}">
      <text>
        <r>
          <rPr>
            <sz val="10"/>
            <rFont val="Arial"/>
            <family val="2"/>
          </rPr>
          <t>guv.sozialabgaben</t>
        </r>
      </text>
    </comment>
    <comment ref="B21" authorId="0" shapeId="0" xr:uid="{00000000-0006-0000-0200-000009000000}">
      <text>
        <r>
          <rPr>
            <sz val="10"/>
            <rFont val="Arial"/>
            <family val="2"/>
          </rPr>
          <t>guv.abschreibungen</t>
        </r>
      </text>
    </comment>
    <comment ref="B22" authorId="0" shapeId="0" xr:uid="{00000000-0006-0000-0200-00000A000000}">
      <text>
        <r>
          <rPr>
            <sz val="10"/>
            <rFont val="Arial"/>
            <family val="2"/>
          </rPr>
          <t>guv.sonstige_aufwendungen</t>
        </r>
      </text>
    </comment>
    <comment ref="B28" authorId="0" shapeId="0" xr:uid="{00000000-0006-0000-0200-00000B000000}">
      <text>
        <r>
          <rPr>
            <sz val="10"/>
            <rFont val="Arial"/>
            <family val="2"/>
          </rPr>
          <t>guv.beteiligungsertraege</t>
        </r>
      </text>
    </comment>
    <comment ref="B29" authorId="0" shapeId="0" xr:uid="{00000000-0006-0000-0200-00000C000000}">
      <text>
        <r>
          <rPr>
            <sz val="10"/>
            <rFont val="Arial"/>
            <family val="2"/>
          </rPr>
          <t>guv.zinsertraege</t>
        </r>
      </text>
    </comment>
    <comment ref="B30" authorId="0" shapeId="0" xr:uid="{00000000-0006-0000-0200-00000D000000}">
      <text>
        <r>
          <rPr>
            <sz val="10"/>
            <rFont val="Arial"/>
            <family val="2"/>
          </rPr>
          <t>guv.abschr_finanzanlagen</t>
        </r>
      </text>
    </comment>
    <comment ref="B31" authorId="0" shapeId="0" xr:uid="{00000000-0006-0000-0200-00000E000000}">
      <text>
        <r>
          <rPr>
            <sz val="10"/>
            <rFont val="Arial"/>
            <family val="2"/>
          </rPr>
          <t>guv.zinsaufwendungen</t>
        </r>
      </text>
    </comment>
    <comment ref="B37" authorId="0" shapeId="0" xr:uid="{00000000-0006-0000-0200-00000F000000}">
      <text>
        <r>
          <rPr>
            <sz val="10"/>
            <rFont val="Arial"/>
            <family val="2"/>
          </rPr>
          <t>guv.steuern_ertrag</t>
        </r>
      </text>
    </comment>
    <comment ref="B38" authorId="0" shapeId="0" xr:uid="{00000000-0006-0000-0200-000010000000}">
      <text>
        <r>
          <rPr>
            <sz val="10"/>
            <rFont val="Arial"/>
            <family val="2"/>
          </rPr>
          <t>guv.sonstige_steuern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300-000001000000}">
      <text>
        <r>
          <rPr>
            <sz val="10"/>
            <rFont val="Arial"/>
            <family val="2"/>
          </rPr>
          <t>bilanz.immat_lizenzen</t>
        </r>
      </text>
    </comment>
    <comment ref="B7" authorId="0" shapeId="0" xr:uid="{00000000-0006-0000-0300-000002000000}">
      <text>
        <r>
          <rPr>
            <sz val="10"/>
            <rFont val="Arial"/>
            <family val="2"/>
          </rPr>
          <t>bilanz.immat_selbst</t>
        </r>
      </text>
    </comment>
    <comment ref="B8" authorId="0" shapeId="0" xr:uid="{00000000-0006-0000-0300-000003000000}">
      <text>
        <r>
          <rPr>
            <sz val="10"/>
            <rFont val="Arial"/>
            <family val="2"/>
          </rPr>
          <t>bilanz.immat_anzahlungen</t>
        </r>
      </text>
    </comment>
    <comment ref="B12" authorId="0" shapeId="0" xr:uid="{00000000-0006-0000-0300-000004000000}">
      <text>
        <r>
          <rPr>
            <sz val="10"/>
            <rFont val="Arial"/>
            <family val="2"/>
          </rPr>
          <t>bilanz.sach_gebaeude</t>
        </r>
      </text>
    </comment>
    <comment ref="B13" authorId="0" shapeId="0" xr:uid="{00000000-0006-0000-0300-000005000000}">
      <text>
        <r>
          <rPr>
            <sz val="10"/>
            <rFont val="Arial"/>
            <family val="2"/>
          </rPr>
          <t>bilanz.sach_maschinen</t>
        </r>
      </text>
    </comment>
    <comment ref="B14" authorId="0" shapeId="0" xr:uid="{00000000-0006-0000-0300-000006000000}">
      <text>
        <r>
          <rPr>
            <sz val="10"/>
            <rFont val="Arial"/>
            <family val="2"/>
          </rPr>
          <t>bilanz.sach_ausstattung</t>
        </r>
      </text>
    </comment>
    <comment ref="B15" authorId="0" shapeId="0" xr:uid="{00000000-0006-0000-0300-000007000000}">
      <text>
        <r>
          <rPr>
            <sz val="10"/>
            <rFont val="Arial"/>
            <family val="2"/>
          </rPr>
          <t>bilanz.sach_anbau</t>
        </r>
      </text>
    </comment>
    <comment ref="B19" authorId="0" shapeId="0" xr:uid="{00000000-0006-0000-0300-000008000000}">
      <text>
        <r>
          <rPr>
            <sz val="10"/>
            <rFont val="Arial"/>
            <family val="2"/>
          </rPr>
          <t>bilanz.fin_anteilsvbu</t>
        </r>
      </text>
    </comment>
    <comment ref="B20" authorId="0" shapeId="0" xr:uid="{00000000-0006-0000-0300-000009000000}">
      <text>
        <r>
          <rPr>
            <sz val="10"/>
            <rFont val="Arial"/>
            <family val="2"/>
          </rPr>
          <t>bilanz.fin_ausleihvbu</t>
        </r>
      </text>
    </comment>
    <comment ref="B21" authorId="0" shapeId="0" xr:uid="{00000000-0006-0000-0300-00000A000000}">
      <text>
        <r>
          <rPr>
            <sz val="10"/>
            <rFont val="Arial"/>
            <family val="2"/>
          </rPr>
          <t>bilanz.fin_beteiligungen</t>
        </r>
      </text>
    </comment>
    <comment ref="B28" authorId="0" shapeId="0" xr:uid="{00000000-0006-0000-0300-00000B000000}">
      <text>
        <r>
          <rPr>
            <sz val="10"/>
            <rFont val="Arial"/>
            <family val="2"/>
          </rPr>
          <t>bilanz.vorr_rhb</t>
        </r>
      </text>
    </comment>
    <comment ref="B29" authorId="0" shapeId="0" xr:uid="{00000000-0006-0000-0300-00000C000000}">
      <text>
        <r>
          <rPr>
            <sz val="10"/>
            <rFont val="Arial"/>
            <family val="2"/>
          </rPr>
          <t>bilanz.vorr_unfertig</t>
        </r>
      </text>
    </comment>
    <comment ref="B30" authorId="0" shapeId="0" xr:uid="{00000000-0006-0000-0300-00000D000000}">
      <text>
        <r>
          <rPr>
            <sz val="10"/>
            <rFont val="Arial"/>
            <family val="2"/>
          </rPr>
          <t>bilanz.vorr_fertig</t>
        </r>
      </text>
    </comment>
    <comment ref="B31" authorId="0" shapeId="0" xr:uid="{00000000-0006-0000-0300-00000E000000}">
      <text>
        <r>
          <rPr>
            <sz val="10"/>
            <rFont val="Arial"/>
            <family val="2"/>
          </rPr>
          <t>bilanz.vorr_anzahlungen</t>
        </r>
      </text>
    </comment>
    <comment ref="B35" authorId="0" shapeId="0" xr:uid="{00000000-0006-0000-0300-00000F000000}">
      <text>
        <r>
          <rPr>
            <sz val="10"/>
            <rFont val="Arial"/>
            <family val="2"/>
          </rPr>
          <t>bilanz.ford_llg</t>
        </r>
      </text>
    </comment>
    <comment ref="B36" authorId="0" shapeId="0" xr:uid="{00000000-0006-0000-0300-000010000000}">
      <text>
        <r>
          <rPr>
            <sz val="10"/>
            <rFont val="Arial"/>
            <family val="2"/>
          </rPr>
          <t>bilanz.ford_vbu</t>
        </r>
      </text>
    </comment>
    <comment ref="B37" authorId="0" shapeId="0" xr:uid="{00000000-0006-0000-0300-000011000000}">
      <text>
        <r>
          <rPr>
            <sz val="10"/>
            <rFont val="Arial"/>
            <family val="2"/>
          </rPr>
          <t>bilanz.ford_sonstige</t>
        </r>
      </text>
    </comment>
    <comment ref="B40" authorId="0" shapeId="0" xr:uid="{00000000-0006-0000-0300-000012000000}">
      <text>
        <r>
          <rPr>
            <sz val="10"/>
            <rFont val="Arial"/>
            <family val="2"/>
          </rPr>
          <t>bilanz.wertpapiere_umlauf</t>
        </r>
      </text>
    </comment>
    <comment ref="B41" authorId="0" shapeId="0" xr:uid="{00000000-0006-0000-0300-000013000000}">
      <text>
        <r>
          <rPr>
            <sz val="10"/>
            <rFont val="Arial"/>
            <family val="2"/>
          </rPr>
          <t>bilanz.liquide_mittel</t>
        </r>
      </text>
    </comment>
    <comment ref="B44" authorId="0" shapeId="0" xr:uid="{00000000-0006-0000-0300-000014000000}">
      <text>
        <r>
          <rPr>
            <sz val="10"/>
            <rFont val="Arial"/>
            <family val="2"/>
          </rPr>
          <t>bilanz.aktiver_rao</t>
        </r>
      </text>
    </comment>
    <comment ref="B45" authorId="0" shapeId="0" xr:uid="{00000000-0006-0000-0300-000015000000}">
      <text>
        <r>
          <rPr>
            <sz val="10"/>
            <rFont val="Arial"/>
            <family val="2"/>
          </rPr>
          <t>bilanz.aktive_latente_steuern</t>
        </r>
      </text>
    </comment>
    <comment ref="B52" authorId="0" shapeId="0" xr:uid="{00000000-0006-0000-0300-000016000000}">
      <text>
        <r>
          <rPr>
            <sz val="10"/>
            <rFont val="Arial"/>
            <family val="2"/>
          </rPr>
          <t>bilanz.gezeichnetes_kapital</t>
        </r>
      </text>
    </comment>
    <comment ref="B53" authorId="0" shapeId="0" xr:uid="{00000000-0006-0000-0300-000017000000}">
      <text>
        <r>
          <rPr>
            <sz val="10"/>
            <rFont val="Arial"/>
            <family val="2"/>
          </rPr>
          <t>bilanz.kapitalruecklage</t>
        </r>
      </text>
    </comment>
    <comment ref="B54" authorId="0" shapeId="0" xr:uid="{00000000-0006-0000-0300-000018000000}">
      <text>
        <r>
          <rPr>
            <sz val="10"/>
            <rFont val="Arial"/>
            <family val="2"/>
          </rPr>
          <t>bilanz.gesetzliche_ruecklage</t>
        </r>
      </text>
    </comment>
    <comment ref="B55" authorId="0" shapeId="0" xr:uid="{00000000-0006-0000-0300-000019000000}">
      <text>
        <r>
          <rPr>
            <sz val="10"/>
            <rFont val="Arial"/>
            <family val="2"/>
          </rPr>
          <t>bilanz.andere_gewinnruecklagen</t>
        </r>
      </text>
    </comment>
    <comment ref="B56" authorId="0" shapeId="0" xr:uid="{00000000-0006-0000-0300-00001A000000}">
      <text>
        <r>
          <rPr>
            <sz val="10"/>
            <rFont val="Arial"/>
            <family val="2"/>
          </rPr>
          <t>bilanz.bilanzgewinn</t>
        </r>
      </text>
    </comment>
    <comment ref="B60" authorId="0" shapeId="0" xr:uid="{00000000-0006-0000-0300-00001B000000}">
      <text>
        <r>
          <rPr>
            <sz val="10"/>
            <rFont val="Arial"/>
            <family val="2"/>
          </rPr>
          <t>bilanz.pensionsrueckstellungen</t>
        </r>
      </text>
    </comment>
    <comment ref="B61" authorId="0" shapeId="0" xr:uid="{00000000-0006-0000-0300-00001C000000}">
      <text>
        <r>
          <rPr>
            <sz val="10"/>
            <rFont val="Arial"/>
            <family val="2"/>
          </rPr>
          <t>bilanz.steuerrueckstellungen</t>
        </r>
      </text>
    </comment>
    <comment ref="B62" authorId="0" shapeId="0" xr:uid="{00000000-0006-0000-0300-00001D000000}">
      <text>
        <r>
          <rPr>
            <sz val="10"/>
            <rFont val="Arial"/>
            <family val="2"/>
          </rPr>
          <t>bilanz.sonstige_rueckstellungen</t>
        </r>
      </text>
    </comment>
    <comment ref="B66" authorId="0" shapeId="0" xr:uid="{00000000-0006-0000-0300-00001E000000}">
      <text>
        <r>
          <rPr>
            <sz val="10"/>
            <rFont val="Arial"/>
            <family val="2"/>
          </rPr>
          <t>bilanz.anleihen</t>
        </r>
      </text>
    </comment>
    <comment ref="B67" authorId="0" shapeId="0" xr:uid="{00000000-0006-0000-0300-00001F000000}">
      <text>
        <r>
          <rPr>
            <sz val="10"/>
            <rFont val="Arial"/>
            <family val="2"/>
          </rPr>
          <t>bilanz.verbindlichkeiten_kreditinstitute</t>
        </r>
      </text>
    </comment>
    <comment ref="B68" authorId="0" shapeId="0" xr:uid="{00000000-0006-0000-0300-000020000000}">
      <text>
        <r>
          <rPr>
            <sz val="10"/>
            <rFont val="Arial"/>
            <family val="2"/>
          </rPr>
          <t>bilanz.erhaltene_anzahlungen</t>
        </r>
      </text>
    </comment>
    <comment ref="B69" authorId="0" shapeId="0" xr:uid="{00000000-0006-0000-0300-000021000000}">
      <text>
        <r>
          <rPr>
            <sz val="10"/>
            <rFont val="Arial"/>
            <family val="2"/>
          </rPr>
          <t>bilanz.verbindlichkeiten_llg</t>
        </r>
      </text>
    </comment>
    <comment ref="B70" authorId="0" shapeId="0" xr:uid="{00000000-0006-0000-0300-000022000000}">
      <text>
        <r>
          <rPr>
            <sz val="10"/>
            <rFont val="Arial"/>
            <family val="2"/>
          </rPr>
          <t>bilanz.verbindlichkeiten_vbu</t>
        </r>
      </text>
    </comment>
    <comment ref="B71" authorId="0" shapeId="0" xr:uid="{00000000-0006-0000-0300-000023000000}">
      <text>
        <r>
          <rPr>
            <sz val="10"/>
            <rFont val="Arial"/>
            <family val="2"/>
          </rPr>
          <t>bilanz.sonstige_verbindlichkeiten</t>
        </r>
      </text>
    </comment>
    <comment ref="B74" authorId="0" shapeId="0" xr:uid="{00000000-0006-0000-0300-000024000000}">
      <text>
        <r>
          <rPr>
            <sz val="10"/>
            <rFont val="Arial"/>
            <family val="2"/>
          </rPr>
          <t>bilanz.passiver_rao</t>
        </r>
      </text>
    </comment>
    <comment ref="B81" authorId="0" shapeId="0" xr:uid="{00000000-0006-0000-0300-000025000000}">
      <text>
        <r>
          <rPr>
            <sz val="10"/>
            <rFont val="Arial"/>
            <family val="2"/>
          </rPr>
          <t>bilanz.einstellung_ruecklagen</t>
        </r>
      </text>
    </comment>
    <comment ref="B82" authorId="0" shapeId="0" xr:uid="{00000000-0006-0000-0300-000026000000}">
      <text>
        <r>
          <rPr>
            <sz val="10"/>
            <rFont val="Arial"/>
            <family val="2"/>
          </rPr>
          <t>bilanz.gewinnvortrag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400-000001000000}">
      <text>
        <r>
          <rPr>
            <sz val="10"/>
            <rFont val="Arial"/>
            <family val="2"/>
          </rPr>
          <t>kennzahlen.mitarbeiter</t>
        </r>
      </text>
    </comment>
    <comment ref="B5" authorId="0" shapeId="0" xr:uid="{00000000-0006-0000-0400-000002000000}">
      <text>
        <r>
          <rPr>
            <sz val="10"/>
            <rFont val="Arial"/>
            <family val="2"/>
          </rPr>
          <t>kennzahlen.ergebnis_je_aktie</t>
        </r>
      </text>
    </comment>
    <comment ref="B6" authorId="0" shapeId="0" xr:uid="{00000000-0006-0000-0400-000003000000}">
      <text>
        <r>
          <rPr>
            <sz val="10"/>
            <rFont val="Arial"/>
            <family val="2"/>
          </rPr>
          <t>kennzahlen.dividende_je_aktie</t>
        </r>
      </text>
    </comment>
    <comment ref="B7" authorId="0" shapeId="0" xr:uid="{00000000-0006-0000-0400-000004000000}">
      <text>
        <r>
          <rPr>
            <sz val="10"/>
            <rFont val="Arial"/>
            <family val="2"/>
          </rPr>
          <t>kennzahlen.free_cashflow</t>
        </r>
      </text>
    </comment>
    <comment ref="B10" authorId="0" shapeId="0" xr:uid="{00000000-0006-0000-0400-000005000000}">
      <text>
        <r>
          <rPr>
            <sz val="10"/>
            <rFont val="Arial"/>
            <family val="2"/>
          </rPr>
          <t>kennzahlen.prueferhonorar_pruefung</t>
        </r>
      </text>
    </comment>
    <comment ref="B11" authorId="0" shapeId="0" xr:uid="{00000000-0006-0000-0400-000006000000}">
      <text>
        <r>
          <rPr>
            <sz val="10"/>
            <rFont val="Arial"/>
            <family val="2"/>
          </rPr>
          <t>kennzahlen.prueferhonorar_sonstig</t>
        </r>
      </text>
    </comment>
  </commentList>
</comments>
</file>

<file path=xl/sharedStrings.xml><?xml version="1.0" encoding="utf-8"?>
<sst xmlns="http://schemas.openxmlformats.org/spreadsheetml/2006/main" count="223" uniqueCount="215">
  <si>
    <t>Jahresabschluss Generator – Eingabevorlage</t>
  </si>
  <si>
    <t>Bitte füllen Sie alle gelb markierten Felder aus und speichern Sie die Datei.</t>
  </si>
  <si>
    <t>Legende</t>
  </si>
  <si>
    <t xml:space="preserve">  Gelb</t>
  </si>
  <si>
    <t>Pflichtfeld – hier Ihre Werte eintragen</t>
  </si>
  <si>
    <t xml:space="preserve">  Blau</t>
  </si>
  <si>
    <t>Automatisch berechnete Summe (nicht ändern)</t>
  </si>
  <si>
    <t xml:space="preserve">  Grau</t>
  </si>
  <si>
    <t>Beschriftung / nicht editierbar</t>
  </si>
  <si>
    <t xml:space="preserve">  Grün</t>
  </si>
  <si>
    <t>Optionales Feld</t>
  </si>
  <si>
    <t>Tabellenblätter</t>
  </si>
  <si>
    <t>📋 Anleitung</t>
  </si>
  <si>
    <t>Diese Seite – Hinweise zur Bedienung</t>
  </si>
  <si>
    <t>🏢 Stammdaten</t>
  </si>
  <si>
    <t>Firmenname, Sitz, Geschäftsjahr, Vorstand, Segmente</t>
  </si>
  <si>
    <t>📈 GuV</t>
  </si>
  <si>
    <t>Gewinn- und Verlustrechnung – aktuelles Jahr + Vorjahr</t>
  </si>
  <si>
    <t>⚖️ Bilanz</t>
  </si>
  <si>
    <t>Aktiva und Passiva – aktuelles Jahr + Vorjahr</t>
  </si>
  <si>
    <t>🔢 Kennzahlen</t>
  </si>
  <si>
    <t>EPS, Dividende, Cashflow, Mitarbeiter, Prüferhonorar</t>
  </si>
  <si>
    <t>So importieren Sie die Vorlage:</t>
  </si>
  <si>
    <t>1. Alle gelb markierten Felder ausfüllen (Beträge in TEUR, also Tausend Euro)</t>
  </si>
  <si>
    <t>2. Datei speichern (Strg+S)</t>
  </si>
  <si>
    <t>3. Im Jahresabschluss-Generator: Schritt 1 → 'Excel importieren' klicken</t>
  </si>
  <si>
    <t>4. Diese Datei hochladen → alle Felder werden automatisch befüllt</t>
  </si>
  <si>
    <t>5. Prüfen und ggf. ergänzen → Jahresabschluss generieren</t>
  </si>
  <si>
    <t>Stammdaten der Gesellschaft</t>
  </si>
  <si>
    <t>Feld</t>
  </si>
  <si>
    <t>Wert / Eingabe</t>
  </si>
  <si>
    <t>Hinweis</t>
  </si>
  <si>
    <t>Firmenname</t>
  </si>
  <si>
    <t>z.B. Müller AG</t>
  </si>
  <si>
    <t>Sitz</t>
  </si>
  <si>
    <t>z.B. Duisburg</t>
  </si>
  <si>
    <t>Handelsregister (HRB)</t>
  </si>
  <si>
    <t>z.B. HRB 12345</t>
  </si>
  <si>
    <t>Gründungsjahr</t>
  </si>
  <si>
    <t>z.B. 1995</t>
  </si>
  <si>
    <t>Geschäftsjahr</t>
  </si>
  <si>
    <t>z.B. 2025</t>
  </si>
  <si>
    <t>Branche / Industrie</t>
  </si>
  <si>
    <t>z.B. Industrieautomation</t>
  </si>
  <si>
    <t>Standorte und Länder</t>
  </si>
  <si>
    <t>z.B. 12 Standorte in 5 Ländern</t>
  </si>
  <si>
    <t>Börsensegment</t>
  </si>
  <si>
    <t>Prime Standard, Frankfurt</t>
  </si>
  <si>
    <t>z.B. Prime Standard, Frankfurt</t>
  </si>
  <si>
    <t>ISIN</t>
  </si>
  <si>
    <t>z.B. DE000ABC1234</t>
  </si>
  <si>
    <t>Ticker</t>
  </si>
  <si>
    <t>z.B. MUL</t>
  </si>
  <si>
    <t>Anzahl Aktien</t>
  </si>
  <si>
    <t>in Stück</t>
  </si>
  <si>
    <t>Abschlussprüfer</t>
  </si>
  <si>
    <t>KPMG AG Wirtschaftsprüfungsgesellschaft, Frankfurt am Main</t>
  </si>
  <si>
    <t>z.B. KPMG AG</t>
  </si>
  <si>
    <t>Operative Segmente (bis zu 5)</t>
  </si>
  <si>
    <t>Segment-Name</t>
  </si>
  <si>
    <t>Umsatz aktuell (TEUR)</t>
  </si>
  <si>
    <t>Umsatz Vorjahr (TEUR)</t>
  </si>
  <si>
    <t>Vorstand (bis zu 5 Mitglieder)</t>
  </si>
  <si>
    <t>Name</t>
  </si>
  <si>
    <t>Funktion</t>
  </si>
  <si>
    <t>Bestellt bis</t>
  </si>
  <si>
    <t>Vorstandsvorsitzende/r (CEO)</t>
  </si>
  <si>
    <t>Finanzvorstand/in (CFO)</t>
  </si>
  <si>
    <t>CTO / COO / CPO</t>
  </si>
  <si>
    <t>Aufsichtsrat (bis zu 6 Mitglieder)</t>
  </si>
  <si>
    <t>Aufsichtsratsvorsitzende/r</t>
  </si>
  <si>
    <t>Stellv. Vorsitzende/r</t>
  </si>
  <si>
    <t>Arbeitnehmervertreter/in</t>
  </si>
  <si>
    <t>Gewinn- und Verlustrechnung (Gesamtkostenverfahren § 275 Abs. 2 HGB)</t>
  </si>
  <si>
    <t>Position</t>
  </si>
  <si>
    <t>Aktuelles GJ (TEUR)</t>
  </si>
  <si>
    <t>Vorjahr (TEUR)</t>
  </si>
  <si>
    <t>ERTRÄGE</t>
  </si>
  <si>
    <t>Umsatzerlöse</t>
  </si>
  <si>
    <t>Brutto-Umsatz</t>
  </si>
  <si>
    <t>Bestandsveränderung (+/-)</t>
  </si>
  <si>
    <t>Positiv = Zunahme</t>
  </si>
  <si>
    <t>Aktivierte Eigenleistungen</t>
  </si>
  <si>
    <t>z.B. Entwicklungskosten</t>
  </si>
  <si>
    <t>Sonstige betriebliche Erträge</t>
  </si>
  <si>
    <t>GESAMTLEISTUNG</t>
  </si>
  <si>
    <t>Materialaufwand</t>
  </si>
  <si>
    <t>Roh-, Hilfs- u. Betriebsstoffe / bezogene Waren</t>
  </si>
  <si>
    <t>Bezogene Leistungen</t>
  </si>
  <si>
    <t>Summe Materialaufwand</t>
  </si>
  <si>
    <t>Eingabe als positiver Betrag</t>
  </si>
  <si>
    <t>Personalaufwand</t>
  </si>
  <si>
    <t>Löhne und Gehälter</t>
  </si>
  <si>
    <t>Soziale Abgaben und Altersversorgung</t>
  </si>
  <si>
    <t>Summe Personalaufwand</t>
  </si>
  <si>
    <t>Weitere Aufwendungen</t>
  </si>
  <si>
    <t>Abschreibungen</t>
  </si>
  <si>
    <t>Sonstige betriebliche Aufwendungen</t>
  </si>
  <si>
    <t>EBITDA</t>
  </si>
  <si>
    <t>EBIT (Betriebsergebnis)</t>
  </si>
  <si>
    <t>Finanzergebnis</t>
  </si>
  <si>
    <t>Beteiligungserträge</t>
  </si>
  <si>
    <t>Zinserträge</t>
  </si>
  <si>
    <t>Abschr. auf Finanzanlagen (positiver Betrag)</t>
  </si>
  <si>
    <t>Zinsaufwendungen (positiver Betrag)</t>
  </si>
  <si>
    <t>Summe Finanzergebnis</t>
  </si>
  <si>
    <t>EBT (Ergebnis vor Steuern)</t>
  </si>
  <si>
    <t>Steuern</t>
  </si>
  <si>
    <t>Steuern vom Einkommen und Ertrag</t>
  </si>
  <si>
    <t>Sonstige Steuern</t>
  </si>
  <si>
    <t>JAHRESÜBERSCHUSS</t>
  </si>
  <si>
    <t>Bilanz gemäß § 266 HGB (Beträge in TEUR)</t>
  </si>
  <si>
    <t>AKTIVA</t>
  </si>
  <si>
    <t>A.  Anlagevermögen</t>
  </si>
  <si>
    <t xml:space="preserve">  I.  Immaterielle Vermögenswerte</t>
  </si>
  <si>
    <t>Konzessionen, Lizenzen, Rechte</t>
  </si>
  <si>
    <t>Selbst erstellte immaterielle VW</t>
  </si>
  <si>
    <t>Geleistete Anzahlungen immat.</t>
  </si>
  <si>
    <t xml:space="preserve">  Summe immat. Vermögenswerte</t>
  </si>
  <si>
    <t xml:space="preserve">  II. Sachanlagen</t>
  </si>
  <si>
    <t>Grundstücke und Gebäude</t>
  </si>
  <si>
    <t>Technische Anlagen und Maschinen</t>
  </si>
  <si>
    <t>Betriebs- und Geschäftsausstattung</t>
  </si>
  <si>
    <t>Anlagen im Bau / Anzahlungen</t>
  </si>
  <si>
    <t xml:space="preserve">  Summe Sachanlagen</t>
  </si>
  <si>
    <t xml:space="preserve">  III.Finanzanlagen</t>
  </si>
  <si>
    <t>Anteile an verbundenen Unternehmen</t>
  </si>
  <si>
    <t>Ausleihungen an verbundene Unt.</t>
  </si>
  <si>
    <t>Beteiligungen</t>
  </si>
  <si>
    <t xml:space="preserve">  Summe Finanzanlagen</t>
  </si>
  <si>
    <t>SUMME ANLAGEVERMÖGEN</t>
  </si>
  <si>
    <t>B.  Umlaufvermögen</t>
  </si>
  <si>
    <t xml:space="preserve">  I.  Vorräte</t>
  </si>
  <si>
    <t>Roh-, Hilfs- und Betriebsstoffe</t>
  </si>
  <si>
    <t>Unfertige Erzeugnisse</t>
  </si>
  <si>
    <t>Fertige Erzeugnisse und Waren</t>
  </si>
  <si>
    <t>Geleistete Anzahlungen Vorräte</t>
  </si>
  <si>
    <t xml:space="preserve">  Summe Vorräte</t>
  </si>
  <si>
    <t xml:space="preserve">  II. Forderungen</t>
  </si>
  <si>
    <t>Forderungen aus Lieferungen u. Leistungen</t>
  </si>
  <si>
    <t>vor Wertberichtigungen</t>
  </si>
  <si>
    <t>Forderungen gg. verbundene Unternehmen</t>
  </si>
  <si>
    <t>Sonstige Vermögensgegenstände</t>
  </si>
  <si>
    <t xml:space="preserve">  Summe Forderungen</t>
  </si>
  <si>
    <t>III.Wertpapiere des Umlaufvermögens</t>
  </si>
  <si>
    <t>IV. Liquide Mittel (Kasse + Bank)</t>
  </si>
  <si>
    <t>Kassenbestand + Bankguthaben</t>
  </si>
  <si>
    <t>SUMME UMLAUFVERMÖGEN</t>
  </si>
  <si>
    <t>C.  Aktiver Rechnungsabgrenzungsposten</t>
  </si>
  <si>
    <t>D.  Aktive latente Steuern (§ 274 HGB)</t>
  </si>
  <si>
    <t>BILANZSUMME AKTIVA</t>
  </si>
  <si>
    <t>PASSIVA</t>
  </si>
  <si>
    <t>A.  Eigenkapital</t>
  </si>
  <si>
    <t>Gezeichnetes Kapital</t>
  </si>
  <si>
    <t>Grundkapital lt. Satzung</t>
  </si>
  <si>
    <t>Kapitalrücklage</t>
  </si>
  <si>
    <t>Gesetzliche Rücklage</t>
  </si>
  <si>
    <t>Andere Gewinnrücklagen</t>
  </si>
  <si>
    <t>Bilanzgewinn</t>
  </si>
  <si>
    <t>Nach Rücklageneinstellung</t>
  </si>
  <si>
    <t>SUMME EIGENKAPITAL</t>
  </si>
  <si>
    <t>B.  Rückstellungen</t>
  </si>
  <si>
    <t>Pensionsrückstellungen</t>
  </si>
  <si>
    <t>Steuerrückstellungen</t>
  </si>
  <si>
    <t>Sonstige Rückstellungen</t>
  </si>
  <si>
    <t>SUMME RÜCKSTELLUNGEN</t>
  </si>
  <si>
    <t>C.  Verbindlichkeiten</t>
  </si>
  <si>
    <t>Anleihen</t>
  </si>
  <si>
    <t>Verbindlichkeiten gg. Kreditinstitute</t>
  </si>
  <si>
    <t>Erhaltene Anzahlungen</t>
  </si>
  <si>
    <t>Verbindlichkeiten aus Lieferungen u. Leistungen</t>
  </si>
  <si>
    <t>Verbindlichkeiten gg. verbundene Unternehmen</t>
  </si>
  <si>
    <t>Sonstige Verbindlichkeiten</t>
  </si>
  <si>
    <t>SUMME VERBINDLICHKEITEN</t>
  </si>
  <si>
    <t>D.  Passiver Rechnungsabgrenzungsposten</t>
  </si>
  <si>
    <t>BILANZSUMME PASSIVA</t>
  </si>
  <si>
    <t>Bitte sicherstellen: Aktiva = Passiva</t>
  </si>
  <si>
    <t>Ergebnisverwendung (für Anhang)</t>
  </si>
  <si>
    <t>Einstellung in Gewinnrücklagen</t>
  </si>
  <si>
    <t>Betrag aus JÜ → Rücklagen</t>
  </si>
  <si>
    <t>Gewinnvortrag aus Vorjahr</t>
  </si>
  <si>
    <t>Falls vorhanden</t>
  </si>
  <si>
    <t>Weitere Kennzahlen</t>
  </si>
  <si>
    <t>Kennzahl</t>
  </si>
  <si>
    <t>Wert</t>
  </si>
  <si>
    <t>Mitarbeiter und Ergebnis</t>
  </si>
  <si>
    <t>Mitarbeiter (Stichtag 31.12.)</t>
  </si>
  <si>
    <t>Kopfzahl</t>
  </si>
  <si>
    <t>Ergebnis je Aktie – EPS (EUR)</t>
  </si>
  <si>
    <t>verwässert</t>
  </si>
  <si>
    <t>Dividende je Aktie (EUR)</t>
  </si>
  <si>
    <t>Vorschlag</t>
  </si>
  <si>
    <t>Free Cashflow (TEUR)</t>
  </si>
  <si>
    <t>op. CF – Capex</t>
  </si>
  <si>
    <t>Abschlussprüferhonorar (§ 285 Nr. 17 HGB)</t>
  </si>
  <si>
    <t>Abschlussprüfung (TEUR)</t>
  </si>
  <si>
    <t>Andere Bestätigungsleistungen (TEUR)</t>
  </si>
  <si>
    <t>Lumina AG</t>
  </si>
  <si>
    <t>Duisburg</t>
  </si>
  <si>
    <t>DE000ABC1234</t>
  </si>
  <si>
    <t>HRB 343556</t>
  </si>
  <si>
    <t>Industrieautmation</t>
  </si>
  <si>
    <t>12 Standorte in 5 Ländern</t>
  </si>
  <si>
    <t>LUM</t>
  </si>
  <si>
    <t>KI-Beratung</t>
  </si>
  <si>
    <t>IT-Beratung</t>
  </si>
  <si>
    <t>Abschlussprüfung</t>
  </si>
  <si>
    <t>Versicherungsvermittlung</t>
  </si>
  <si>
    <t>Bauplanung</t>
  </si>
  <si>
    <t>Dipl.-Kfm. Volker Kusch</t>
  </si>
  <si>
    <t>Peter Müller</t>
  </si>
  <si>
    <t>Ralf Meier</t>
  </si>
  <si>
    <t>Dr. Gerd Müller</t>
  </si>
  <si>
    <t>Dr. Thomas Schulze</t>
  </si>
  <si>
    <t>Dr. Miroslav Klose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</si>
</sst>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color rgb="FF333333"/>
      <name val="Arial"/>
      <charset val="1"/>
    </font>
    <font>
      <sz val="10"/>
      <color rgb="FF333333"/>
      <name val="Arial"/>
      <charset val="1"/>
    </font>
    <font>
      <b/>
      <sz val="10"/>
      <color rgb="FF2E75B6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8B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8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BF3FB"/>
        <bgColor rgb="FFF2F2F2"/>
      </patternFill>
    </fill>
    <fill>
      <patternFill patternType="solid">
        <fgColor rgb="FFFFFFC0"/>
        <bgColor rgb="FFFFFF99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33996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7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3" fontId="10" fillId="3" borderId="1" xfId="0" applyNumberFormat="1" applyFont="1" applyFill="1" applyBorder="1" applyAlignment="1">
      <alignment horizontal="left" vertical="center" indent="1"/>
    </xf>
    <xf numFmtId="3" fontId="0" fillId="3" borderId="1" xfId="0" applyNumberForma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 indent="1"/>
    </xf>
    <xf numFmtId="0" fontId="10" fillId="6" borderId="1" xfId="0" applyFont="1" applyFill="1" applyBorder="1" applyAlignment="1">
      <alignment horizontal="left" vertical="center" indent="1"/>
    </xf>
    <xf numFmtId="3" fontId="10" fillId="3" borderId="1" xfId="0" applyNumberFormat="1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left" vertical="center" indent="1"/>
    </xf>
    <xf numFmtId="3" fontId="9" fillId="4" borderId="4" xfId="0" applyNumberFormat="1" applyFont="1" applyFill="1" applyBorder="1" applyAlignment="1">
      <alignment horizontal="right" vertical="center"/>
    </xf>
    <xf numFmtId="0" fontId="11" fillId="0" borderId="0" xfId="0" applyFont="1"/>
    <xf numFmtId="3" fontId="3" fillId="2" borderId="4" xfId="0" applyNumberFormat="1" applyFont="1" applyFill="1" applyBorder="1" applyAlignment="1">
      <alignment horizontal="right" vertical="center"/>
    </xf>
    <xf numFmtId="0" fontId="12" fillId="7" borderId="4" xfId="0" applyFont="1" applyFill="1" applyBorder="1" applyAlignment="1">
      <alignment horizontal="left" vertical="center" indent="1"/>
    </xf>
    <xf numFmtId="3" fontId="12" fillId="7" borderId="4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left" vertical="center" indent="1"/>
    </xf>
    <xf numFmtId="3" fontId="16" fillId="2" borderId="4" xfId="0" applyNumberFormat="1" applyFont="1" applyFill="1" applyBorder="1" applyAlignment="1">
      <alignment horizontal="right" vertical="center"/>
    </xf>
    <xf numFmtId="4" fontId="10" fillId="3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64" fontId="0" fillId="0" borderId="0" xfId="0" applyNumberFormat="1"/>
    <xf numFmtId="0" fontId="17" fillId="5" borderId="1" xfId="0" applyFont="1" applyFill="1" applyBorder="1" applyAlignment="1">
      <alignment horizontal="left" vertical="center" indent="1"/>
    </xf>
    <xf numFmtId="0" fontId="18" fillId="5" borderId="1" xfId="0" applyFont="1" applyFill="1" applyBorder="1" applyAlignment="1">
      <alignment horizontal="left" vertical="center" indent="1"/>
    </xf>
    <xf numFmtId="0" fontId="19" fillId="3" borderId="1" xfId="0" applyFont="1" applyFill="1" applyBorder="1" applyAlignment="1">
      <alignment horizontal="left" vertical="center" indent="1"/>
    </xf>
    <xf numFmtId="0" fontId="19" fillId="6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7" fillId="7" borderId="0" xfId="0" applyFont="1" applyFill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left" vertical="center" indent="1"/>
    </xf>
    <xf numFmtId="0" fontId="15" fillId="7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CCCCC"/>
      <rgbColor rgb="FF808080"/>
      <rgbColor rgb="FF9999FF"/>
      <rgbColor rgb="FF993366"/>
      <rgbColor rgb="FFFFFFC0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B2:C24"/>
  <sheetViews>
    <sheetView showGridLines="0" tabSelected="1" zoomScaleNormal="100" workbookViewId="0"/>
  </sheetViews>
  <sheetFormatPr baseColWidth="10" defaultColWidth="8.6640625" defaultRowHeight="14.4" x14ac:dyDescent="0.3"/>
  <cols>
    <col min="1" max="1" width="4" customWidth="1"/>
    <col min="2" max="2" width="28" customWidth="1"/>
    <col min="3" max="3" width="60" customWidth="1"/>
  </cols>
  <sheetData>
    <row r="2" spans="2:3" ht="36" customHeight="1" x14ac:dyDescent="0.3">
      <c r="B2" s="32" t="s">
        <v>0</v>
      </c>
      <c r="C2" s="32"/>
    </row>
    <row r="3" spans="2:3" ht="15" customHeight="1" x14ac:dyDescent="0.3">
      <c r="B3" s="33" t="s">
        <v>1</v>
      </c>
      <c r="C3" s="33"/>
    </row>
    <row r="5" spans="2:3" x14ac:dyDescent="0.3">
      <c r="B5" s="34" t="s">
        <v>2</v>
      </c>
      <c r="C5" s="34"/>
    </row>
    <row r="7" spans="2:3" ht="18" customHeight="1" x14ac:dyDescent="0.3">
      <c r="B7" s="1" t="s">
        <v>3</v>
      </c>
      <c r="C7" s="2" t="s">
        <v>4</v>
      </c>
    </row>
    <row r="8" spans="2:3" ht="18" customHeight="1" x14ac:dyDescent="0.3">
      <c r="B8" s="3" t="s">
        <v>5</v>
      </c>
      <c r="C8" s="2" t="s">
        <v>6</v>
      </c>
    </row>
    <row r="9" spans="2:3" ht="18" customHeight="1" x14ac:dyDescent="0.3">
      <c r="B9" s="4" t="s">
        <v>7</v>
      </c>
      <c r="C9" s="2" t="s">
        <v>8</v>
      </c>
    </row>
    <row r="10" spans="2:3" ht="18" customHeight="1" x14ac:dyDescent="0.3">
      <c r="B10" s="5" t="s">
        <v>9</v>
      </c>
      <c r="C10" s="2" t="s">
        <v>10</v>
      </c>
    </row>
    <row r="12" spans="2:3" x14ac:dyDescent="0.3">
      <c r="B12" s="34" t="s">
        <v>11</v>
      </c>
      <c r="C12" s="34"/>
    </row>
    <row r="13" spans="2:3" ht="18" customHeight="1" x14ac:dyDescent="0.3">
      <c r="B13" s="6" t="s">
        <v>12</v>
      </c>
      <c r="C13" s="2" t="s">
        <v>13</v>
      </c>
    </row>
    <row r="14" spans="2:3" ht="18" customHeight="1" x14ac:dyDescent="0.3">
      <c r="B14" s="6" t="s">
        <v>14</v>
      </c>
      <c r="C14" s="2" t="s">
        <v>15</v>
      </c>
    </row>
    <row r="15" spans="2:3" ht="18" customHeight="1" x14ac:dyDescent="0.3">
      <c r="B15" s="6" t="s">
        <v>16</v>
      </c>
      <c r="C15" s="2" t="s">
        <v>17</v>
      </c>
    </row>
    <row r="16" spans="2:3" ht="18" customHeight="1" x14ac:dyDescent="0.3">
      <c r="B16" s="6" t="s">
        <v>18</v>
      </c>
      <c r="C16" s="2" t="s">
        <v>19</v>
      </c>
    </row>
    <row r="17" spans="2:3" ht="18" customHeight="1" x14ac:dyDescent="0.3">
      <c r="B17" s="6" t="s">
        <v>20</v>
      </c>
      <c r="C17" s="2" t="s">
        <v>21</v>
      </c>
    </row>
    <row r="19" spans="2:3" x14ac:dyDescent="0.3">
      <c r="B19" s="34" t="s">
        <v>22</v>
      </c>
      <c r="C19" s="34"/>
    </row>
    <row r="20" spans="2:3" ht="18" customHeight="1" x14ac:dyDescent="0.3">
      <c r="B20" s="2" t="s">
        <v>23</v>
      </c>
    </row>
    <row r="21" spans="2:3" ht="18" customHeight="1" x14ac:dyDescent="0.3">
      <c r="B21" s="2" t="s">
        <v>24</v>
      </c>
    </row>
    <row r="22" spans="2:3" ht="18" customHeight="1" x14ac:dyDescent="0.3">
      <c r="B22" s="2" t="s">
        <v>25</v>
      </c>
    </row>
    <row r="23" spans="2:3" ht="18" customHeight="1" x14ac:dyDescent="0.3">
      <c r="B23" s="2" t="s">
        <v>26</v>
      </c>
    </row>
    <row r="24" spans="2:3" ht="18" customHeight="1" x14ac:dyDescent="0.3">
      <c r="B24" s="2" t="s">
        <v>27</v>
      </c>
    </row>
  </sheetData>
  <mergeCells count="5">
    <mergeCell ref="B2:C2"/>
    <mergeCell ref="B3:C3"/>
    <mergeCell ref="B5:C5"/>
    <mergeCell ref="B12:C12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I39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5" sqref="I15:J22"/>
    </sheetView>
  </sheetViews>
  <sheetFormatPr baseColWidth="10" defaultColWidth="8.6640625" defaultRowHeight="14.4" x14ac:dyDescent="0.3"/>
  <cols>
    <col min="1" max="1" width="3" customWidth="1"/>
    <col min="2" max="2" width="32" customWidth="1"/>
    <col min="3" max="4" width="22" customWidth="1"/>
  </cols>
  <sheetData>
    <row r="1" spans="2:9" ht="30" customHeight="1" x14ac:dyDescent="0.3">
      <c r="B1" s="35" t="s">
        <v>28</v>
      </c>
      <c r="C1" s="35"/>
      <c r="D1" s="35"/>
    </row>
    <row r="2" spans="2:9" ht="19.5" customHeight="1" x14ac:dyDescent="0.3">
      <c r="B2" s="7" t="s">
        <v>29</v>
      </c>
      <c r="C2" s="7" t="s">
        <v>30</v>
      </c>
      <c r="D2" s="7" t="s">
        <v>31</v>
      </c>
    </row>
    <row r="3" spans="2:9" ht="18" customHeight="1" x14ac:dyDescent="0.3">
      <c r="B3" s="8" t="s">
        <v>32</v>
      </c>
      <c r="C3" s="9" t="s">
        <v>197</v>
      </c>
      <c r="D3" s="10" t="s">
        <v>33</v>
      </c>
    </row>
    <row r="4" spans="2:9" ht="18" customHeight="1" x14ac:dyDescent="0.3">
      <c r="B4" s="8" t="s">
        <v>34</v>
      </c>
      <c r="C4" s="9" t="s">
        <v>198</v>
      </c>
      <c r="D4" s="10" t="s">
        <v>35</v>
      </c>
    </row>
    <row r="5" spans="2:9" ht="18" customHeight="1" x14ac:dyDescent="0.3">
      <c r="B5" s="8" t="s">
        <v>36</v>
      </c>
      <c r="C5" s="9" t="s">
        <v>200</v>
      </c>
      <c r="D5" s="10" t="s">
        <v>37</v>
      </c>
    </row>
    <row r="6" spans="2:9" ht="18" customHeight="1" x14ac:dyDescent="0.3">
      <c r="B6" s="8" t="s">
        <v>38</v>
      </c>
      <c r="C6" s="9">
        <v>2024</v>
      </c>
      <c r="D6" s="10" t="s">
        <v>39</v>
      </c>
    </row>
    <row r="7" spans="2:9" ht="18" customHeight="1" x14ac:dyDescent="0.3">
      <c r="B7" s="8" t="s">
        <v>40</v>
      </c>
      <c r="C7" s="9">
        <v>2025</v>
      </c>
      <c r="D7" s="10" t="s">
        <v>41</v>
      </c>
    </row>
    <row r="8" spans="2:9" ht="18" customHeight="1" x14ac:dyDescent="0.3">
      <c r="B8" s="8" t="s">
        <v>42</v>
      </c>
      <c r="C8" s="9" t="s">
        <v>201</v>
      </c>
      <c r="D8" s="10" t="s">
        <v>43</v>
      </c>
    </row>
    <row r="9" spans="2:9" ht="18" customHeight="1" x14ac:dyDescent="0.3">
      <c r="B9" s="8" t="s">
        <v>44</v>
      </c>
      <c r="C9" s="9" t="s">
        <v>202</v>
      </c>
      <c r="D9" s="10" t="s">
        <v>45</v>
      </c>
    </row>
    <row r="10" spans="2:9" ht="18" customHeight="1" x14ac:dyDescent="0.3">
      <c r="B10" s="8" t="s">
        <v>46</v>
      </c>
      <c r="C10" s="9" t="s">
        <v>47</v>
      </c>
      <c r="D10" s="10" t="s">
        <v>48</v>
      </c>
    </row>
    <row r="11" spans="2:9" ht="18" customHeight="1" x14ac:dyDescent="0.3">
      <c r="B11" s="8" t="s">
        <v>49</v>
      </c>
      <c r="C11" s="9" t="s">
        <v>199</v>
      </c>
      <c r="D11" s="10" t="s">
        <v>50</v>
      </c>
    </row>
    <row r="12" spans="2:9" ht="18" customHeight="1" x14ac:dyDescent="0.3">
      <c r="B12" s="8" t="s">
        <v>51</v>
      </c>
      <c r="C12" s="9" t="s">
        <v>203</v>
      </c>
      <c r="D12" s="10" t="s">
        <v>52</v>
      </c>
    </row>
    <row r="13" spans="2:9" ht="18" customHeight="1" x14ac:dyDescent="0.3">
      <c r="B13" s="8" t="s">
        <v>53</v>
      </c>
      <c r="C13" s="11">
        <v>1000</v>
      </c>
      <c r="D13" s="10" t="s">
        <v>54</v>
      </c>
    </row>
    <row r="14" spans="2:9" ht="18" customHeight="1" x14ac:dyDescent="0.3">
      <c r="B14" s="8" t="s">
        <v>55</v>
      </c>
      <c r="C14" s="9" t="s">
        <v>56</v>
      </c>
      <c r="D14" s="10" t="s">
        <v>57</v>
      </c>
    </row>
    <row r="16" spans="2:9" ht="21.75" customHeight="1" x14ac:dyDescent="0.3">
      <c r="B16" s="36" t="s">
        <v>58</v>
      </c>
      <c r="C16" s="36"/>
      <c r="D16" s="36"/>
      <c r="I16" s="26"/>
    </row>
    <row r="17" spans="2:9" ht="19.5" customHeight="1" x14ac:dyDescent="0.3">
      <c r="B17" s="7" t="s">
        <v>59</v>
      </c>
      <c r="C17" s="7" t="s">
        <v>60</v>
      </c>
      <c r="D17" s="7" t="s">
        <v>61</v>
      </c>
      <c r="I17" s="26"/>
    </row>
    <row r="18" spans="2:9" ht="16.5" customHeight="1" x14ac:dyDescent="0.3">
      <c r="B18" s="28" t="s">
        <v>204</v>
      </c>
      <c r="C18" s="12">
        <v>19600</v>
      </c>
      <c r="D18" s="12">
        <v>15177.8</v>
      </c>
      <c r="I18" s="26"/>
    </row>
    <row r="19" spans="2:9" ht="16.5" customHeight="1" x14ac:dyDescent="0.3">
      <c r="B19" s="29" t="s">
        <v>205</v>
      </c>
      <c r="C19" s="12">
        <v>29600</v>
      </c>
      <c r="D19" s="12">
        <v>25177.8</v>
      </c>
      <c r="I19" s="26"/>
    </row>
    <row r="20" spans="2:9" ht="16.5" customHeight="1" x14ac:dyDescent="0.3">
      <c r="B20" s="29" t="s">
        <v>206</v>
      </c>
      <c r="C20" s="12">
        <v>21267</v>
      </c>
      <c r="D20" s="12">
        <v>16844.8</v>
      </c>
      <c r="I20" s="26"/>
    </row>
    <row r="21" spans="2:9" ht="16.5" customHeight="1" x14ac:dyDescent="0.3">
      <c r="B21" s="29" t="s">
        <v>207</v>
      </c>
      <c r="C21" s="12">
        <v>27933</v>
      </c>
      <c r="D21" s="12">
        <v>23510.799999999999</v>
      </c>
      <c r="I21" s="26"/>
    </row>
    <row r="22" spans="2:9" ht="16.5" customHeight="1" x14ac:dyDescent="0.3">
      <c r="B22" s="29" t="s">
        <v>208</v>
      </c>
      <c r="C22" s="12">
        <v>24600</v>
      </c>
      <c r="D22" s="12">
        <v>20177.8</v>
      </c>
      <c r="I22" s="26"/>
    </row>
    <row r="23" spans="2:9" ht="7.5" customHeight="1" x14ac:dyDescent="0.3"/>
    <row r="24" spans="2:9" ht="21.75" customHeight="1" x14ac:dyDescent="0.3">
      <c r="B24" s="36" t="s">
        <v>62</v>
      </c>
      <c r="C24" s="36"/>
      <c r="D24" s="36"/>
    </row>
    <row r="25" spans="2:9" ht="19.5" customHeight="1" x14ac:dyDescent="0.3">
      <c r="B25" s="7" t="s">
        <v>63</v>
      </c>
      <c r="C25" s="7" t="s">
        <v>64</v>
      </c>
      <c r="D25" s="7" t="s">
        <v>65</v>
      </c>
    </row>
    <row r="26" spans="2:9" ht="16.5" customHeight="1" x14ac:dyDescent="0.3">
      <c r="B26" s="30" t="s">
        <v>209</v>
      </c>
      <c r="C26" s="9" t="s">
        <v>66</v>
      </c>
      <c r="D26" s="9"/>
    </row>
    <row r="27" spans="2:9" ht="16.5" customHeight="1" x14ac:dyDescent="0.3">
      <c r="B27" s="30" t="s">
        <v>210</v>
      </c>
      <c r="C27" s="9" t="s">
        <v>67</v>
      </c>
      <c r="D27" s="9"/>
    </row>
    <row r="28" spans="2:9" ht="16.5" customHeight="1" x14ac:dyDescent="0.3">
      <c r="B28" s="31" t="s">
        <v>211</v>
      </c>
      <c r="C28" s="14" t="s">
        <v>68</v>
      </c>
      <c r="D28" s="14"/>
    </row>
    <row r="29" spans="2:9" ht="16.5" customHeight="1" x14ac:dyDescent="0.3">
      <c r="B29" s="14"/>
      <c r="C29" s="14"/>
      <c r="D29" s="14"/>
    </row>
    <row r="30" spans="2:9" ht="16.5" customHeight="1" x14ac:dyDescent="0.3">
      <c r="B30" s="14"/>
      <c r="C30" s="14"/>
      <c r="D30" s="14"/>
    </row>
    <row r="31" spans="2:9" ht="7.5" customHeight="1" x14ac:dyDescent="0.3"/>
    <row r="32" spans="2:9" ht="21.75" customHeight="1" x14ac:dyDescent="0.3">
      <c r="B32" s="36" t="s">
        <v>69</v>
      </c>
      <c r="C32" s="36"/>
      <c r="D32" s="36"/>
    </row>
    <row r="33" spans="2:4" ht="19.5" customHeight="1" x14ac:dyDescent="0.3">
      <c r="B33" s="7" t="s">
        <v>63</v>
      </c>
      <c r="C33" s="7" t="s">
        <v>64</v>
      </c>
      <c r="D33" s="7"/>
    </row>
    <row r="34" spans="2:4" ht="16.5" customHeight="1" x14ac:dyDescent="0.3">
      <c r="B34" s="30" t="s">
        <v>214</v>
      </c>
      <c r="C34" s="9" t="s">
        <v>70</v>
      </c>
    </row>
    <row r="35" spans="2:4" ht="16.5" customHeight="1" x14ac:dyDescent="0.3">
      <c r="B35" s="30" t="s">
        <v>212</v>
      </c>
      <c r="C35" s="9" t="s">
        <v>71</v>
      </c>
    </row>
    <row r="36" spans="2:4" ht="16.5" customHeight="1" x14ac:dyDescent="0.3">
      <c r="B36" s="30" t="s">
        <v>213</v>
      </c>
      <c r="C36" s="9" t="s">
        <v>72</v>
      </c>
    </row>
    <row r="37" spans="2:4" ht="16.5" customHeight="1" x14ac:dyDescent="0.3">
      <c r="B37" s="14"/>
      <c r="C37" s="14"/>
    </row>
    <row r="38" spans="2:4" ht="16.5" customHeight="1" x14ac:dyDescent="0.3">
      <c r="B38" s="14"/>
      <c r="C38" s="14"/>
    </row>
    <row r="39" spans="2:4" ht="16.5" customHeight="1" x14ac:dyDescent="0.3">
      <c r="B39" s="14"/>
      <c r="C39" s="14"/>
    </row>
  </sheetData>
  <mergeCells count="4">
    <mergeCell ref="B1:D1"/>
    <mergeCell ref="B16:D16"/>
    <mergeCell ref="B24:D24"/>
    <mergeCell ref="B32:D3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1:E4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8" sqref="C38:D38"/>
    </sheetView>
  </sheetViews>
  <sheetFormatPr baseColWidth="10" defaultColWidth="8.6640625" defaultRowHeight="14.4" x14ac:dyDescent="0.3"/>
  <cols>
    <col min="1" max="1" width="3" customWidth="1"/>
    <col min="2" max="2" width="46" customWidth="1"/>
    <col min="3" max="4" width="20" customWidth="1"/>
    <col min="5" max="5" width="16" customWidth="1"/>
  </cols>
  <sheetData>
    <row r="1" spans="2:5" ht="27.75" customHeight="1" x14ac:dyDescent="0.3">
      <c r="B1" s="38" t="s">
        <v>73</v>
      </c>
      <c r="C1" s="38"/>
      <c r="D1" s="38"/>
      <c r="E1" s="38"/>
    </row>
    <row r="2" spans="2:5" ht="19.5" customHeight="1" x14ac:dyDescent="0.3">
      <c r="B2" s="7" t="s">
        <v>74</v>
      </c>
      <c r="C2" s="7" t="s">
        <v>75</v>
      </c>
      <c r="D2" s="7" t="s">
        <v>76</v>
      </c>
      <c r="E2" s="7" t="s">
        <v>31</v>
      </c>
    </row>
    <row r="3" spans="2:5" ht="21.75" customHeight="1" x14ac:dyDescent="0.3">
      <c r="B3" s="36" t="s">
        <v>77</v>
      </c>
      <c r="C3" s="36"/>
      <c r="D3" s="36"/>
      <c r="E3" s="36"/>
    </row>
    <row r="4" spans="2:5" ht="16.5" customHeight="1" x14ac:dyDescent="0.3">
      <c r="B4" s="13" t="s">
        <v>78</v>
      </c>
      <c r="C4" s="15">
        <v>123000</v>
      </c>
      <c r="D4" s="15">
        <v>100889</v>
      </c>
      <c r="E4" s="10" t="s">
        <v>79</v>
      </c>
    </row>
    <row r="5" spans="2:5" ht="16.5" customHeight="1" x14ac:dyDescent="0.3">
      <c r="B5" s="13" t="s">
        <v>80</v>
      </c>
      <c r="C5" s="15">
        <v>45</v>
      </c>
      <c r="D5" s="15">
        <v>68</v>
      </c>
      <c r="E5" s="10" t="s">
        <v>81</v>
      </c>
    </row>
    <row r="6" spans="2:5" ht="16.5" customHeight="1" x14ac:dyDescent="0.3">
      <c r="B6" s="13" t="s">
        <v>82</v>
      </c>
      <c r="C6" s="16">
        <v>23</v>
      </c>
      <c r="D6" s="16">
        <v>2</v>
      </c>
      <c r="E6" s="10" t="s">
        <v>83</v>
      </c>
    </row>
    <row r="7" spans="2:5" ht="16.5" customHeight="1" x14ac:dyDescent="0.3">
      <c r="B7" s="13" t="s">
        <v>84</v>
      </c>
      <c r="C7" s="15">
        <v>30000</v>
      </c>
      <c r="D7" s="15">
        <v>27000</v>
      </c>
      <c r="E7" s="10"/>
    </row>
    <row r="8" spans="2:5" ht="18" customHeight="1" x14ac:dyDescent="0.3">
      <c r="B8" s="17" t="s">
        <v>85</v>
      </c>
      <c r="C8" s="18">
        <f>SUM(C4:C7)</f>
        <v>153068</v>
      </c>
      <c r="D8" s="18">
        <f>SUM(D4:D7)</f>
        <v>127959</v>
      </c>
    </row>
    <row r="9" spans="2:5" ht="7.5" customHeight="1" x14ac:dyDescent="0.3"/>
    <row r="10" spans="2:5" ht="18" customHeight="1" x14ac:dyDescent="0.3">
      <c r="B10" s="37" t="s">
        <v>86</v>
      </c>
      <c r="C10" s="37"/>
      <c r="D10" s="37"/>
      <c r="E10" s="37"/>
    </row>
    <row r="11" spans="2:5" ht="16.5" customHeight="1" x14ac:dyDescent="0.3">
      <c r="B11" s="13" t="s">
        <v>87</v>
      </c>
      <c r="C11" s="15">
        <v>45666</v>
      </c>
      <c r="D11" s="15">
        <v>34999</v>
      </c>
    </row>
    <row r="12" spans="2:5" ht="16.5" customHeight="1" x14ac:dyDescent="0.3">
      <c r="B12" s="13" t="s">
        <v>88</v>
      </c>
      <c r="C12" s="15">
        <v>3400</v>
      </c>
      <c r="D12" s="15">
        <v>3000</v>
      </c>
    </row>
    <row r="13" spans="2:5" ht="18" customHeight="1" x14ac:dyDescent="0.3">
      <c r="B13" s="17" t="s">
        <v>89</v>
      </c>
      <c r="C13" s="18">
        <f>SUM(C11:C12)</f>
        <v>49066</v>
      </c>
      <c r="D13" s="18">
        <f>SUM(D11:D12)</f>
        <v>37999</v>
      </c>
      <c r="E13" s="19" t="s">
        <v>90</v>
      </c>
    </row>
    <row r="14" spans="2:5" ht="7.5" customHeight="1" x14ac:dyDescent="0.3"/>
    <row r="15" spans="2:5" ht="18" customHeight="1" x14ac:dyDescent="0.3">
      <c r="B15" s="37" t="s">
        <v>91</v>
      </c>
      <c r="C15" s="37"/>
      <c r="D15" s="37"/>
      <c r="E15" s="37"/>
    </row>
    <row r="16" spans="2:5" ht="16.5" customHeight="1" x14ac:dyDescent="0.3">
      <c r="B16" s="13" t="s">
        <v>92</v>
      </c>
      <c r="C16" s="15">
        <v>29898</v>
      </c>
      <c r="D16" s="15">
        <v>29787</v>
      </c>
    </row>
    <row r="17" spans="2:5" ht="16.5" customHeight="1" x14ac:dyDescent="0.3">
      <c r="B17" s="13" t="s">
        <v>93</v>
      </c>
      <c r="C17" s="15">
        <f>C16*20%</f>
        <v>5979.6</v>
      </c>
      <c r="D17" s="15">
        <f>D16*20%</f>
        <v>5957.4000000000005</v>
      </c>
    </row>
    <row r="18" spans="2:5" ht="18" customHeight="1" x14ac:dyDescent="0.3">
      <c r="B18" s="17" t="s">
        <v>94</v>
      </c>
      <c r="C18" s="18">
        <f>SUM(C16:C17)</f>
        <v>35877.599999999999</v>
      </c>
      <c r="D18" s="18">
        <f>SUM(D16:D17)</f>
        <v>35744.400000000001</v>
      </c>
    </row>
    <row r="19" spans="2:5" ht="7.5" customHeight="1" x14ac:dyDescent="0.3"/>
    <row r="20" spans="2:5" ht="18" customHeight="1" x14ac:dyDescent="0.3">
      <c r="B20" s="37" t="s">
        <v>95</v>
      </c>
      <c r="C20" s="37"/>
      <c r="D20" s="37"/>
      <c r="E20" s="37"/>
    </row>
    <row r="21" spans="2:5" ht="16.5" customHeight="1" x14ac:dyDescent="0.3">
      <c r="B21" s="13" t="s">
        <v>96</v>
      </c>
      <c r="C21" s="15">
        <v>5000</v>
      </c>
      <c r="D21" s="15">
        <v>4000</v>
      </c>
    </row>
    <row r="22" spans="2:5" ht="16.5" customHeight="1" x14ac:dyDescent="0.3">
      <c r="B22" s="13" t="s">
        <v>97</v>
      </c>
      <c r="C22" s="15">
        <v>45000</v>
      </c>
      <c r="D22" s="15">
        <v>43000</v>
      </c>
    </row>
    <row r="23" spans="2:5" ht="7.5" customHeight="1" x14ac:dyDescent="0.3"/>
    <row r="24" spans="2:5" ht="18" customHeight="1" x14ac:dyDescent="0.3">
      <c r="B24" s="17" t="s">
        <v>98</v>
      </c>
      <c r="C24" s="18">
        <f>C8-C13-C18</f>
        <v>68124.399999999994</v>
      </c>
      <c r="D24" s="18">
        <f>D8-D13-D18</f>
        <v>54215.6</v>
      </c>
    </row>
    <row r="25" spans="2:5" ht="18" customHeight="1" x14ac:dyDescent="0.3">
      <c r="B25" s="17" t="s">
        <v>99</v>
      </c>
      <c r="C25" s="20">
        <f>C24-C21-C22</f>
        <v>18124.399999999994</v>
      </c>
      <c r="D25" s="20">
        <f>D24-D21-D22</f>
        <v>7215.5999999999985</v>
      </c>
    </row>
    <row r="26" spans="2:5" ht="7.5" customHeight="1" x14ac:dyDescent="0.3"/>
    <row r="27" spans="2:5" ht="18" customHeight="1" x14ac:dyDescent="0.3">
      <c r="B27" s="37" t="s">
        <v>100</v>
      </c>
      <c r="C27" s="37"/>
      <c r="D27" s="37"/>
      <c r="E27" s="37"/>
    </row>
    <row r="28" spans="2:5" ht="16.5" customHeight="1" x14ac:dyDescent="0.3">
      <c r="B28" s="13" t="s">
        <v>101</v>
      </c>
      <c r="C28" s="15">
        <v>100</v>
      </c>
      <c r="D28" s="15">
        <v>90</v>
      </c>
    </row>
    <row r="29" spans="2:5" ht="16.5" customHeight="1" x14ac:dyDescent="0.3">
      <c r="B29" s="13" t="s">
        <v>102</v>
      </c>
      <c r="C29" s="15">
        <v>450</v>
      </c>
      <c r="D29" s="15">
        <v>350</v>
      </c>
    </row>
    <row r="30" spans="2:5" ht="16.5" customHeight="1" x14ac:dyDescent="0.3">
      <c r="B30" s="13" t="s">
        <v>103</v>
      </c>
      <c r="C30" s="15">
        <v>45</v>
      </c>
      <c r="D30" s="15">
        <v>3</v>
      </c>
    </row>
    <row r="31" spans="2:5" ht="16.5" customHeight="1" x14ac:dyDescent="0.3">
      <c r="B31" s="13" t="s">
        <v>104</v>
      </c>
      <c r="C31" s="15">
        <v>400</v>
      </c>
      <c r="D31" s="15">
        <v>300</v>
      </c>
    </row>
    <row r="32" spans="2:5" ht="18" customHeight="1" x14ac:dyDescent="0.3">
      <c r="B32" s="17" t="s">
        <v>105</v>
      </c>
      <c r="C32" s="18">
        <f>C28+C29-C30-C31</f>
        <v>105</v>
      </c>
      <c r="D32" s="18">
        <f>D28+D29-D30-D31</f>
        <v>137</v>
      </c>
    </row>
    <row r="33" spans="2:5" ht="7.5" customHeight="1" x14ac:dyDescent="0.3"/>
    <row r="34" spans="2:5" ht="18" customHeight="1" x14ac:dyDescent="0.3">
      <c r="B34" s="17" t="s">
        <v>106</v>
      </c>
      <c r="C34" s="18">
        <f>C25+C32</f>
        <v>18229.399999999994</v>
      </c>
      <c r="D34" s="18">
        <f>D25+D32</f>
        <v>7352.5999999999985</v>
      </c>
    </row>
    <row r="35" spans="2:5" ht="7.5" customHeight="1" x14ac:dyDescent="0.3"/>
    <row r="36" spans="2:5" ht="18" customHeight="1" x14ac:dyDescent="0.3">
      <c r="B36" s="37" t="s">
        <v>107</v>
      </c>
      <c r="C36" s="37"/>
      <c r="D36" s="37"/>
      <c r="E36" s="37"/>
    </row>
    <row r="37" spans="2:5" ht="16.5" customHeight="1" x14ac:dyDescent="0.3">
      <c r="B37" s="13" t="s">
        <v>108</v>
      </c>
      <c r="C37" s="15">
        <f>C34*10%</f>
        <v>1822.9399999999996</v>
      </c>
      <c r="D37" s="15">
        <f>D34*10%</f>
        <v>735.25999999999988</v>
      </c>
    </row>
    <row r="38" spans="2:5" ht="16.5" customHeight="1" x14ac:dyDescent="0.3">
      <c r="B38" s="13" t="s">
        <v>109</v>
      </c>
      <c r="C38" s="15">
        <v>444</v>
      </c>
      <c r="D38" s="15">
        <v>666</v>
      </c>
    </row>
    <row r="39" spans="2:5" ht="7.5" customHeight="1" x14ac:dyDescent="0.3"/>
    <row r="40" spans="2:5" ht="18" customHeight="1" x14ac:dyDescent="0.3">
      <c r="B40" s="21" t="s">
        <v>110</v>
      </c>
      <c r="C40" s="22">
        <f>C34-C37-C38</f>
        <v>15962.459999999995</v>
      </c>
      <c r="D40" s="22">
        <f>D34-D37-D38</f>
        <v>5951.3399999999983</v>
      </c>
    </row>
  </sheetData>
  <mergeCells count="7">
    <mergeCell ref="B27:E27"/>
    <mergeCell ref="B36:E36"/>
    <mergeCell ref="B1:E1"/>
    <mergeCell ref="B3:E3"/>
    <mergeCell ref="B10:E10"/>
    <mergeCell ref="B15:E15"/>
    <mergeCell ref="B20:E2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B1:E84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2" sqref="C82:D82"/>
    </sheetView>
  </sheetViews>
  <sheetFormatPr baseColWidth="10" defaultColWidth="8.6640625" defaultRowHeight="14.4" x14ac:dyDescent="0.3"/>
  <cols>
    <col min="1" max="1" width="3" customWidth="1"/>
    <col min="2" max="2" width="44" customWidth="1"/>
    <col min="3" max="4" width="20" customWidth="1"/>
    <col min="5" max="5" width="16" customWidth="1"/>
    <col min="8" max="8" width="11.21875" customWidth="1"/>
    <col min="9" max="9" width="14.88671875" customWidth="1"/>
  </cols>
  <sheetData>
    <row r="1" spans="2:5" ht="27.75" customHeight="1" x14ac:dyDescent="0.3">
      <c r="B1" s="38" t="s">
        <v>111</v>
      </c>
      <c r="C1" s="38"/>
      <c r="D1" s="38"/>
      <c r="E1" s="38"/>
    </row>
    <row r="2" spans="2:5" ht="19.5" customHeight="1" x14ac:dyDescent="0.3">
      <c r="B2" s="7" t="s">
        <v>74</v>
      </c>
      <c r="C2" s="7" t="s">
        <v>75</v>
      </c>
      <c r="D2" s="7" t="s">
        <v>76</v>
      </c>
      <c r="E2" s="7" t="s">
        <v>31</v>
      </c>
    </row>
    <row r="3" spans="2:5" ht="21.75" customHeight="1" x14ac:dyDescent="0.3">
      <c r="B3" s="36" t="s">
        <v>112</v>
      </c>
      <c r="C3" s="36"/>
      <c r="D3" s="36"/>
      <c r="E3" s="36"/>
    </row>
    <row r="4" spans="2:5" ht="18" customHeight="1" x14ac:dyDescent="0.3">
      <c r="B4" s="37" t="s">
        <v>113</v>
      </c>
      <c r="C4" s="37"/>
      <c r="D4" s="37"/>
      <c r="E4" s="37"/>
    </row>
    <row r="5" spans="2:5" ht="18" customHeight="1" x14ac:dyDescent="0.3">
      <c r="B5" s="37" t="s">
        <v>114</v>
      </c>
      <c r="C5" s="37"/>
      <c r="D5" s="37"/>
      <c r="E5" s="37"/>
    </row>
    <row r="6" spans="2:5" ht="16.5" customHeight="1" x14ac:dyDescent="0.3">
      <c r="B6" s="13" t="s">
        <v>115</v>
      </c>
      <c r="C6" s="15">
        <v>7090</v>
      </c>
      <c r="D6" s="15">
        <v>5017</v>
      </c>
      <c r="E6" s="19"/>
    </row>
    <row r="7" spans="2:5" ht="16.5" customHeight="1" x14ac:dyDescent="0.3">
      <c r="B7" s="13" t="s">
        <v>116</v>
      </c>
      <c r="C7" s="15">
        <v>3982</v>
      </c>
      <c r="D7" s="15">
        <v>7534</v>
      </c>
      <c r="E7" s="19"/>
    </row>
    <row r="8" spans="2:5" ht="16.5" customHeight="1" x14ac:dyDescent="0.3">
      <c r="B8" s="13" t="s">
        <v>117</v>
      </c>
      <c r="C8" s="15">
        <v>7171</v>
      </c>
      <c r="D8" s="15">
        <v>5644</v>
      </c>
      <c r="E8" s="19"/>
    </row>
    <row r="9" spans="2:5" ht="18" customHeight="1" x14ac:dyDescent="0.3">
      <c r="B9" s="17" t="s">
        <v>118</v>
      </c>
      <c r="C9" s="18">
        <f>SUM(C6:C8)</f>
        <v>18243</v>
      </c>
      <c r="D9" s="18">
        <f>SUM(D6:D8)</f>
        <v>18195</v>
      </c>
    </row>
    <row r="10" spans="2:5" ht="7.5" customHeight="1" x14ac:dyDescent="0.3"/>
    <row r="11" spans="2:5" ht="18" customHeight="1" x14ac:dyDescent="0.3">
      <c r="B11" s="37" t="s">
        <v>119</v>
      </c>
      <c r="C11" s="37"/>
      <c r="D11" s="37"/>
      <c r="E11" s="37"/>
    </row>
    <row r="12" spans="2:5" ht="16.5" customHeight="1" x14ac:dyDescent="0.3">
      <c r="B12" s="13" t="s">
        <v>120</v>
      </c>
      <c r="C12" s="15">
        <v>4441</v>
      </c>
      <c r="D12" s="15">
        <v>5645</v>
      </c>
      <c r="E12" s="19"/>
    </row>
    <row r="13" spans="2:5" ht="16.5" customHeight="1" x14ac:dyDescent="0.3">
      <c r="B13" s="13" t="s">
        <v>121</v>
      </c>
      <c r="C13" s="15">
        <v>5031</v>
      </c>
      <c r="D13" s="15">
        <v>2007</v>
      </c>
      <c r="E13" s="19"/>
    </row>
    <row r="14" spans="2:5" ht="16.5" customHeight="1" x14ac:dyDescent="0.3">
      <c r="B14" s="13" t="s">
        <v>122</v>
      </c>
      <c r="C14" s="15">
        <v>345</v>
      </c>
      <c r="D14" s="15">
        <f>C14-333</f>
        <v>12</v>
      </c>
      <c r="E14" s="19"/>
    </row>
    <row r="15" spans="2:5" ht="16.5" customHeight="1" x14ac:dyDescent="0.3">
      <c r="B15" s="13" t="s">
        <v>123</v>
      </c>
      <c r="C15" s="15">
        <v>2049</v>
      </c>
      <c r="D15" s="15">
        <v>3583</v>
      </c>
      <c r="E15" s="19"/>
    </row>
    <row r="16" spans="2:5" ht="18" customHeight="1" x14ac:dyDescent="0.3">
      <c r="B16" s="17" t="s">
        <v>124</v>
      </c>
      <c r="C16" s="18">
        <f>SUM(C12:C15)</f>
        <v>11866</v>
      </c>
      <c r="D16" s="18">
        <f>SUM(D12:D15)</f>
        <v>11247</v>
      </c>
    </row>
    <row r="17" spans="2:5" ht="7.5" customHeight="1" x14ac:dyDescent="0.3"/>
    <row r="18" spans="2:5" ht="18" customHeight="1" x14ac:dyDescent="0.3">
      <c r="B18" s="37" t="s">
        <v>125</v>
      </c>
      <c r="C18" s="37"/>
      <c r="D18" s="37"/>
      <c r="E18" s="37"/>
    </row>
    <row r="19" spans="2:5" ht="16.5" customHeight="1" x14ac:dyDescent="0.3">
      <c r="B19" s="13" t="s">
        <v>126</v>
      </c>
      <c r="C19" s="15">
        <v>3928</v>
      </c>
      <c r="D19" s="15">
        <v>7078</v>
      </c>
      <c r="E19" s="19"/>
    </row>
    <row r="20" spans="2:5" ht="16.5" customHeight="1" x14ac:dyDescent="0.3">
      <c r="B20" s="13" t="s">
        <v>127</v>
      </c>
      <c r="C20" s="15">
        <v>8268</v>
      </c>
      <c r="D20" s="15">
        <v>2326</v>
      </c>
      <c r="E20" s="19"/>
    </row>
    <row r="21" spans="2:5" ht="16.5" customHeight="1" x14ac:dyDescent="0.3">
      <c r="B21" s="13" t="s">
        <v>128</v>
      </c>
      <c r="C21" s="15">
        <v>5482</v>
      </c>
      <c r="D21" s="15">
        <v>7302</v>
      </c>
      <c r="E21" s="19"/>
    </row>
    <row r="22" spans="2:5" ht="18" customHeight="1" x14ac:dyDescent="0.3">
      <c r="B22" s="17" t="s">
        <v>129</v>
      </c>
      <c r="C22" s="18">
        <f>SUM(C19:C21)</f>
        <v>17678</v>
      </c>
      <c r="D22" s="18">
        <f>SUM(D19:D21)</f>
        <v>16706</v>
      </c>
    </row>
    <row r="23" spans="2:5" ht="7.5" customHeight="1" x14ac:dyDescent="0.3"/>
    <row r="24" spans="2:5" ht="18" customHeight="1" x14ac:dyDescent="0.3">
      <c r="B24" s="23" t="s">
        <v>130</v>
      </c>
      <c r="C24" s="24">
        <f>C9+C16+C22</f>
        <v>47787</v>
      </c>
      <c r="D24" s="24">
        <f>D9+D16+D22</f>
        <v>46148</v>
      </c>
    </row>
    <row r="25" spans="2:5" ht="7.5" customHeight="1" x14ac:dyDescent="0.3"/>
    <row r="26" spans="2:5" ht="18" customHeight="1" x14ac:dyDescent="0.3">
      <c r="B26" s="37" t="s">
        <v>131</v>
      </c>
      <c r="C26" s="37"/>
      <c r="D26" s="37"/>
      <c r="E26" s="37"/>
    </row>
    <row r="27" spans="2:5" ht="18" customHeight="1" x14ac:dyDescent="0.3">
      <c r="B27" s="37" t="s">
        <v>132</v>
      </c>
      <c r="C27" s="37"/>
      <c r="D27" s="37"/>
      <c r="E27" s="37"/>
    </row>
    <row r="28" spans="2:5" ht="16.5" customHeight="1" x14ac:dyDescent="0.3">
      <c r="B28" s="13" t="s">
        <v>133</v>
      </c>
      <c r="C28" s="15">
        <v>6672</v>
      </c>
      <c r="D28" s="15">
        <v>5735</v>
      </c>
      <c r="E28" s="19"/>
    </row>
    <row r="29" spans="2:5" ht="16.5" customHeight="1" x14ac:dyDescent="0.3">
      <c r="B29" s="13" t="s">
        <v>134</v>
      </c>
      <c r="C29" s="15">
        <v>3830</v>
      </c>
      <c r="D29" s="15">
        <v>6751</v>
      </c>
      <c r="E29" s="19"/>
    </row>
    <row r="30" spans="2:5" ht="16.5" customHeight="1" x14ac:dyDescent="0.3">
      <c r="B30" s="13" t="s">
        <v>135</v>
      </c>
      <c r="C30" s="15">
        <v>3000</v>
      </c>
      <c r="D30" s="15">
        <v>138</v>
      </c>
      <c r="E30" s="19"/>
    </row>
    <row r="31" spans="2:5" ht="16.5" customHeight="1" x14ac:dyDescent="0.3">
      <c r="B31" s="13" t="s">
        <v>136</v>
      </c>
      <c r="C31" s="15">
        <v>6204</v>
      </c>
      <c r="D31" s="15">
        <v>7394</v>
      </c>
      <c r="E31" s="19"/>
    </row>
    <row r="32" spans="2:5" ht="18" customHeight="1" x14ac:dyDescent="0.3">
      <c r="B32" s="17" t="s">
        <v>137</v>
      </c>
      <c r="C32" s="18">
        <f>SUM(C28:C31)</f>
        <v>19706</v>
      </c>
      <c r="D32" s="18">
        <f>SUM(D28:D31)</f>
        <v>20018</v>
      </c>
    </row>
    <row r="33" spans="2:5" ht="7.5" customHeight="1" x14ac:dyDescent="0.3"/>
    <row r="34" spans="2:5" ht="18" customHeight="1" x14ac:dyDescent="0.3">
      <c r="B34" s="37" t="s">
        <v>138</v>
      </c>
      <c r="C34" s="37"/>
      <c r="D34" s="37"/>
      <c r="E34" s="37"/>
    </row>
    <row r="35" spans="2:5" ht="16.5" customHeight="1" x14ac:dyDescent="0.3">
      <c r="B35" s="13" t="s">
        <v>139</v>
      </c>
      <c r="C35" s="15">
        <v>8979</v>
      </c>
      <c r="D35" s="15">
        <v>3551</v>
      </c>
      <c r="E35" s="19" t="s">
        <v>140</v>
      </c>
    </row>
    <row r="36" spans="2:5" ht="16.5" customHeight="1" x14ac:dyDescent="0.3">
      <c r="B36" s="13" t="s">
        <v>141</v>
      </c>
      <c r="C36" s="15">
        <v>1833</v>
      </c>
      <c r="D36" s="15">
        <v>3567</v>
      </c>
      <c r="E36" s="19"/>
    </row>
    <row r="37" spans="2:5" ht="16.5" customHeight="1" x14ac:dyDescent="0.3">
      <c r="B37" s="13" t="s">
        <v>142</v>
      </c>
      <c r="C37" s="15">
        <v>7423</v>
      </c>
      <c r="D37" s="15">
        <v>6696</v>
      </c>
      <c r="E37" s="19"/>
    </row>
    <row r="38" spans="2:5" ht="18" customHeight="1" x14ac:dyDescent="0.3">
      <c r="B38" s="17" t="s">
        <v>143</v>
      </c>
      <c r="C38" s="18">
        <f>SUM(C35:C37)</f>
        <v>18235</v>
      </c>
      <c r="D38" s="18">
        <f>SUM(D35:D37)</f>
        <v>13814</v>
      </c>
    </row>
    <row r="39" spans="2:5" ht="7.5" customHeight="1" x14ac:dyDescent="0.3"/>
    <row r="40" spans="2:5" ht="16.5" customHeight="1" x14ac:dyDescent="0.3">
      <c r="B40" s="13" t="s">
        <v>144</v>
      </c>
      <c r="C40" s="15">
        <v>6375</v>
      </c>
      <c r="D40" s="15">
        <v>7735</v>
      </c>
      <c r="E40" s="19"/>
    </row>
    <row r="41" spans="2:5" ht="16.5" customHeight="1" x14ac:dyDescent="0.3">
      <c r="B41" s="13" t="s">
        <v>145</v>
      </c>
      <c r="C41" s="15">
        <v>6622</v>
      </c>
      <c r="D41" s="15">
        <v>8750</v>
      </c>
      <c r="E41" s="19" t="s">
        <v>146</v>
      </c>
    </row>
    <row r="42" spans="2:5" ht="18" customHeight="1" x14ac:dyDescent="0.3">
      <c r="B42" s="23" t="s">
        <v>147</v>
      </c>
      <c r="C42" s="24">
        <f>C32+C38+C40+C41</f>
        <v>50938</v>
      </c>
      <c r="D42" s="24">
        <f>D32+D38+D40+D41</f>
        <v>50317</v>
      </c>
    </row>
    <row r="43" spans="2:5" ht="7.5" customHeight="1" x14ac:dyDescent="0.3"/>
    <row r="44" spans="2:5" ht="16.5" customHeight="1" x14ac:dyDescent="0.3">
      <c r="B44" s="13" t="s">
        <v>148</v>
      </c>
      <c r="C44" s="15">
        <v>2466</v>
      </c>
      <c r="D44" s="15">
        <v>6813</v>
      </c>
      <c r="E44" s="19"/>
    </row>
    <row r="45" spans="2:5" ht="16.5" customHeight="1" x14ac:dyDescent="0.3">
      <c r="B45" s="13" t="s">
        <v>149</v>
      </c>
      <c r="C45" s="15">
        <v>5381</v>
      </c>
      <c r="D45" s="15">
        <v>8079</v>
      </c>
      <c r="E45" s="19"/>
    </row>
    <row r="46" spans="2:5" ht="7.5" customHeight="1" x14ac:dyDescent="0.3"/>
    <row r="47" spans="2:5" ht="18" customHeight="1" x14ac:dyDescent="0.3">
      <c r="B47" s="21" t="s">
        <v>150</v>
      </c>
      <c r="C47" s="22">
        <f>C24+C42+C44+C45</f>
        <v>106572</v>
      </c>
      <c r="D47" s="22">
        <f>D24+D42+D44+D45</f>
        <v>111357</v>
      </c>
    </row>
    <row r="48" spans="2:5" ht="7.5" customHeight="1" x14ac:dyDescent="0.3"/>
    <row r="49" spans="2:5" ht="7.5" customHeight="1" x14ac:dyDescent="0.3"/>
    <row r="50" spans="2:5" ht="21.75" customHeight="1" x14ac:dyDescent="0.3">
      <c r="B50" s="36" t="s">
        <v>151</v>
      </c>
      <c r="C50" s="36"/>
      <c r="D50" s="36"/>
      <c r="E50" s="36"/>
    </row>
    <row r="51" spans="2:5" ht="18" customHeight="1" x14ac:dyDescent="0.3">
      <c r="B51" s="37" t="s">
        <v>152</v>
      </c>
      <c r="C51" s="37"/>
      <c r="D51" s="37"/>
      <c r="E51" s="37"/>
    </row>
    <row r="52" spans="2:5" ht="16.5" customHeight="1" x14ac:dyDescent="0.3">
      <c r="B52" s="13" t="s">
        <v>153</v>
      </c>
      <c r="C52" s="15">
        <v>3183</v>
      </c>
      <c r="D52" s="15">
        <v>7534</v>
      </c>
      <c r="E52" s="19" t="s">
        <v>154</v>
      </c>
    </row>
    <row r="53" spans="2:5" ht="16.5" customHeight="1" x14ac:dyDescent="0.3">
      <c r="B53" s="13" t="s">
        <v>155</v>
      </c>
      <c r="C53" s="15">
        <v>5959</v>
      </c>
      <c r="D53" s="15">
        <v>2229</v>
      </c>
      <c r="E53" s="19"/>
    </row>
    <row r="54" spans="2:5" ht="16.5" customHeight="1" x14ac:dyDescent="0.3">
      <c r="B54" s="13" t="s">
        <v>156</v>
      </c>
      <c r="C54" s="15">
        <v>674</v>
      </c>
      <c r="D54" s="15">
        <v>6688</v>
      </c>
      <c r="E54" s="19"/>
    </row>
    <row r="55" spans="2:5" ht="16.5" customHeight="1" x14ac:dyDescent="0.3">
      <c r="B55" s="13" t="s">
        <v>157</v>
      </c>
      <c r="C55" s="15">
        <v>8031</v>
      </c>
      <c r="D55" s="15">
        <v>7086</v>
      </c>
      <c r="E55" s="19"/>
    </row>
    <row r="56" spans="2:5" ht="16.5" customHeight="1" x14ac:dyDescent="0.3">
      <c r="B56" s="13" t="s">
        <v>158</v>
      </c>
      <c r="C56" s="15">
        <f>D56+'📈 GuV'!C40</f>
        <v>21913.799999999996</v>
      </c>
      <c r="D56" s="15">
        <f>'📈 GuV'!D40</f>
        <v>5951.3399999999983</v>
      </c>
      <c r="E56" s="19" t="s">
        <v>159</v>
      </c>
    </row>
    <row r="57" spans="2:5" ht="18" customHeight="1" x14ac:dyDescent="0.3">
      <c r="B57" s="17" t="s">
        <v>160</v>
      </c>
      <c r="C57" s="18">
        <f>SUM(C52:C56)</f>
        <v>39760.799999999996</v>
      </c>
      <c r="D57" s="18">
        <f>SUM(D52:D56)</f>
        <v>29488.339999999997</v>
      </c>
    </row>
    <row r="58" spans="2:5" ht="7.5" customHeight="1" x14ac:dyDescent="0.3"/>
    <row r="59" spans="2:5" ht="18" customHeight="1" x14ac:dyDescent="0.3">
      <c r="B59" s="37" t="s">
        <v>161</v>
      </c>
      <c r="C59" s="37"/>
      <c r="D59" s="37"/>
      <c r="E59" s="37"/>
    </row>
    <row r="60" spans="2:5" ht="16.5" customHeight="1" x14ac:dyDescent="0.3">
      <c r="B60" s="13" t="s">
        <v>162</v>
      </c>
      <c r="C60" s="15">
        <v>2545</v>
      </c>
      <c r="D60" s="15">
        <v>8778</v>
      </c>
      <c r="E60" s="19"/>
    </row>
    <row r="61" spans="2:5" ht="16.5" customHeight="1" x14ac:dyDescent="0.3">
      <c r="B61" s="13" t="s">
        <v>163</v>
      </c>
      <c r="C61" s="15">
        <v>2827</v>
      </c>
      <c r="D61" s="15">
        <v>7619</v>
      </c>
      <c r="E61" s="19"/>
    </row>
    <row r="62" spans="2:5" ht="16.5" customHeight="1" x14ac:dyDescent="0.3">
      <c r="B62" s="13" t="s">
        <v>164</v>
      </c>
      <c r="C62" s="15">
        <v>12686</v>
      </c>
      <c r="D62" s="15">
        <f>C62-999</f>
        <v>11687</v>
      </c>
      <c r="E62" s="19"/>
    </row>
    <row r="63" spans="2:5" ht="18" customHeight="1" x14ac:dyDescent="0.3">
      <c r="B63" s="17" t="s">
        <v>165</v>
      </c>
      <c r="C63" s="18">
        <f>SUM(C60:C62)</f>
        <v>18058</v>
      </c>
      <c r="D63" s="18">
        <f>SUM(D60:D62)</f>
        <v>28084</v>
      </c>
    </row>
    <row r="64" spans="2:5" ht="7.5" customHeight="1" x14ac:dyDescent="0.3"/>
    <row r="65" spans="2:5" ht="18" customHeight="1" x14ac:dyDescent="0.3">
      <c r="B65" s="37" t="s">
        <v>166</v>
      </c>
      <c r="C65" s="37"/>
      <c r="D65" s="37"/>
      <c r="E65" s="37"/>
    </row>
    <row r="66" spans="2:5" ht="16.5" customHeight="1" x14ac:dyDescent="0.3">
      <c r="B66" s="13" t="s">
        <v>167</v>
      </c>
      <c r="C66" s="15">
        <v>5178</v>
      </c>
      <c r="D66" s="15">
        <v>4028</v>
      </c>
      <c r="E66" s="19"/>
    </row>
    <row r="67" spans="2:5" ht="16.5" customHeight="1" x14ac:dyDescent="0.3">
      <c r="B67" s="13" t="s">
        <v>168</v>
      </c>
      <c r="C67" s="15">
        <v>6972</v>
      </c>
      <c r="D67" s="15">
        <v>6142</v>
      </c>
      <c r="E67" s="19"/>
    </row>
    <row r="68" spans="2:5" ht="16.5" customHeight="1" x14ac:dyDescent="0.3">
      <c r="B68" s="13" t="s">
        <v>169</v>
      </c>
      <c r="C68" s="15">
        <v>6366</v>
      </c>
      <c r="D68" s="15">
        <v>3051</v>
      </c>
      <c r="E68" s="19"/>
    </row>
    <row r="69" spans="2:5" ht="16.5" customHeight="1" x14ac:dyDescent="0.3">
      <c r="B69" s="13" t="s">
        <v>170</v>
      </c>
      <c r="C69" s="15">
        <v>5359</v>
      </c>
      <c r="D69" s="15">
        <v>6141</v>
      </c>
      <c r="E69" s="19"/>
    </row>
    <row r="70" spans="2:5" ht="16.5" customHeight="1" x14ac:dyDescent="0.3">
      <c r="B70" s="13" t="s">
        <v>171</v>
      </c>
      <c r="C70" s="15">
        <v>6302</v>
      </c>
      <c r="D70" s="15">
        <v>2641</v>
      </c>
      <c r="E70" s="19"/>
    </row>
    <row r="71" spans="2:5" ht="16.5" customHeight="1" x14ac:dyDescent="0.3">
      <c r="B71" s="13" t="s">
        <v>172</v>
      </c>
      <c r="C71" s="15">
        <v>15022.2</v>
      </c>
      <c r="D71" s="15">
        <v>28243.66</v>
      </c>
      <c r="E71" s="19"/>
    </row>
    <row r="72" spans="2:5" ht="18" customHeight="1" x14ac:dyDescent="0.3">
      <c r="B72" s="17" t="s">
        <v>173</v>
      </c>
      <c r="C72" s="18">
        <f>SUM(C66:C71)</f>
        <v>45199.199999999997</v>
      </c>
      <c r="D72" s="18">
        <f>SUM(D66:D71)</f>
        <v>50246.66</v>
      </c>
    </row>
    <row r="73" spans="2:5" ht="7.5" customHeight="1" x14ac:dyDescent="0.3"/>
    <row r="74" spans="2:5" ht="16.5" customHeight="1" x14ac:dyDescent="0.3">
      <c r="B74" s="13" t="s">
        <v>174</v>
      </c>
      <c r="C74" s="15">
        <v>3554</v>
      </c>
      <c r="D74" s="15">
        <v>3538</v>
      </c>
      <c r="E74" s="19"/>
    </row>
    <row r="75" spans="2:5" ht="7.5" customHeight="1" x14ac:dyDescent="0.3"/>
    <row r="76" spans="2:5" ht="18" customHeight="1" x14ac:dyDescent="0.3">
      <c r="B76" s="21" t="s">
        <v>175</v>
      </c>
      <c r="C76" s="22">
        <f>C57+C63+C72+C74</f>
        <v>106572</v>
      </c>
      <c r="D76" s="22">
        <f>D57+D63+D72+D74</f>
        <v>111357</v>
      </c>
    </row>
    <row r="77" spans="2:5" ht="7.5" customHeight="1" x14ac:dyDescent="0.3"/>
    <row r="78" spans="2:5" ht="21.75" customHeight="1" x14ac:dyDescent="0.3">
      <c r="B78" s="39" t="str">
        <f>IF(C47=C76,"✓ Bilanz ausgeglichen","⚠ Differenz: "&amp;TEXT(C47-C76,"#,##0")&amp;" TEUR")</f>
        <v>✓ Bilanz ausgeglichen</v>
      </c>
      <c r="C78" s="39"/>
      <c r="D78" s="39"/>
      <c r="E78" s="19" t="s">
        <v>176</v>
      </c>
    </row>
    <row r="80" spans="2:5" ht="18" customHeight="1" x14ac:dyDescent="0.3">
      <c r="B80" s="37" t="s">
        <v>177</v>
      </c>
      <c r="C80" s="37"/>
      <c r="D80" s="37"/>
      <c r="E80" s="37"/>
    </row>
    <row r="81" spans="2:5" ht="16.5" customHeight="1" x14ac:dyDescent="0.3">
      <c r="B81" s="13" t="s">
        <v>178</v>
      </c>
      <c r="C81" s="15">
        <v>0</v>
      </c>
      <c r="D81" s="15">
        <v>0</v>
      </c>
      <c r="E81" s="19" t="s">
        <v>179</v>
      </c>
    </row>
    <row r="82" spans="2:5" ht="16.5" customHeight="1" x14ac:dyDescent="0.3">
      <c r="B82" s="13" t="s">
        <v>180</v>
      </c>
      <c r="C82" s="15">
        <v>0</v>
      </c>
      <c r="D82" s="15">
        <v>0</v>
      </c>
      <c r="E82" s="19" t="s">
        <v>181</v>
      </c>
    </row>
    <row r="84" spans="2:5" x14ac:dyDescent="0.3">
      <c r="C84" s="27"/>
      <c r="D84" s="27"/>
    </row>
  </sheetData>
  <mergeCells count="15">
    <mergeCell ref="B1:E1"/>
    <mergeCell ref="B3:E3"/>
    <mergeCell ref="B4:E4"/>
    <mergeCell ref="B5:E5"/>
    <mergeCell ref="B11:E11"/>
    <mergeCell ref="B18:E18"/>
    <mergeCell ref="B26:E26"/>
    <mergeCell ref="B27:E27"/>
    <mergeCell ref="B34:E34"/>
    <mergeCell ref="B50:E50"/>
    <mergeCell ref="B51:E51"/>
    <mergeCell ref="B59:E59"/>
    <mergeCell ref="B65:E65"/>
    <mergeCell ref="B78:D78"/>
    <mergeCell ref="B80:E8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B1:D11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1" sqref="C11"/>
    </sheetView>
  </sheetViews>
  <sheetFormatPr baseColWidth="10" defaultColWidth="8.6640625" defaultRowHeight="14.4" x14ac:dyDescent="0.3"/>
  <cols>
    <col min="1" max="1" width="3" customWidth="1"/>
    <col min="2" max="2" width="38" customWidth="1"/>
    <col min="3" max="3" width="22" customWidth="1"/>
    <col min="4" max="4" width="18" customWidth="1"/>
  </cols>
  <sheetData>
    <row r="1" spans="2:4" ht="27.75" customHeight="1" x14ac:dyDescent="0.3">
      <c r="B1" s="38" t="s">
        <v>182</v>
      </c>
      <c r="C1" s="38"/>
      <c r="D1" s="38"/>
    </row>
    <row r="2" spans="2:4" ht="19.5" customHeight="1" x14ac:dyDescent="0.3">
      <c r="B2" s="7" t="s">
        <v>183</v>
      </c>
      <c r="C2" s="7" t="s">
        <v>184</v>
      </c>
      <c r="D2" s="7" t="s">
        <v>31</v>
      </c>
    </row>
    <row r="3" spans="2:4" ht="21.75" customHeight="1" x14ac:dyDescent="0.3">
      <c r="B3" s="36" t="s">
        <v>185</v>
      </c>
      <c r="C3" s="36"/>
      <c r="D3" s="36"/>
    </row>
    <row r="4" spans="2:4" ht="16.5" customHeight="1" x14ac:dyDescent="0.3">
      <c r="B4" s="8" t="s">
        <v>186</v>
      </c>
      <c r="C4" s="15">
        <v>345</v>
      </c>
      <c r="D4" s="10" t="s">
        <v>187</v>
      </c>
    </row>
    <row r="5" spans="2:4" ht="16.5" customHeight="1" x14ac:dyDescent="0.3">
      <c r="B5" s="8" t="s">
        <v>188</v>
      </c>
      <c r="C5" s="25">
        <v>0</v>
      </c>
      <c r="D5" s="10" t="s">
        <v>189</v>
      </c>
    </row>
    <row r="6" spans="2:4" ht="16.5" customHeight="1" x14ac:dyDescent="0.3">
      <c r="B6" s="8" t="s">
        <v>190</v>
      </c>
      <c r="C6" s="25">
        <v>0</v>
      </c>
      <c r="D6" s="10" t="s">
        <v>191</v>
      </c>
    </row>
    <row r="7" spans="2:4" ht="16.5" customHeight="1" x14ac:dyDescent="0.3">
      <c r="B7" s="8" t="s">
        <v>192</v>
      </c>
      <c r="C7" s="15">
        <v>0</v>
      </c>
      <c r="D7" s="10" t="s">
        <v>193</v>
      </c>
    </row>
    <row r="8" spans="2:4" ht="7.5" customHeight="1" x14ac:dyDescent="0.3"/>
    <row r="9" spans="2:4" ht="21.75" customHeight="1" x14ac:dyDescent="0.3">
      <c r="B9" s="36" t="s">
        <v>194</v>
      </c>
      <c r="C9" s="36"/>
      <c r="D9" s="36"/>
    </row>
    <row r="10" spans="2:4" ht="16.5" customHeight="1" x14ac:dyDescent="0.3">
      <c r="B10" s="8" t="s">
        <v>195</v>
      </c>
      <c r="C10" s="15">
        <v>89</v>
      </c>
      <c r="D10" s="10"/>
    </row>
    <row r="11" spans="2:4" ht="16.5" customHeight="1" x14ac:dyDescent="0.3">
      <c r="B11" s="8" t="s">
        <v>196</v>
      </c>
      <c r="C11" s="15">
        <v>3</v>
      </c>
      <c r="D11" s="10"/>
    </row>
  </sheetData>
  <mergeCells count="3">
    <mergeCell ref="B1:D1"/>
    <mergeCell ref="B3:D3"/>
    <mergeCell ref="B9:D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📋 Anleitung</vt:lpstr>
      <vt:lpstr>🏢 Stammdaten</vt:lpstr>
      <vt:lpstr>📈 GuV</vt:lpstr>
      <vt:lpstr>⚖️ Bilanz</vt:lpstr>
      <vt:lpstr>🔢 Kennzahlen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Volker Kusch</cp:lastModifiedBy>
  <cp:revision>0</cp:revision>
  <dcterms:created xsi:type="dcterms:W3CDTF">2026-06-05T09:25:08Z</dcterms:created>
  <dcterms:modified xsi:type="dcterms:W3CDTF">2026-06-05T19:34:10Z</dcterms:modified>
  <dc:language>en-US</dc:language>
</cp:coreProperties>
</file>